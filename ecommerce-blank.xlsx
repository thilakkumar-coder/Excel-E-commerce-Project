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si Priya\Downloads\"/>
    </mc:Choice>
  </mc:AlternateContent>
  <xr:revisionPtr revIDLastSave="0" documentId="13_ncr:1_{C930D0A7-7AFE-4797-9544-EFAADBD17C95}" xr6:coauthVersionLast="47" xr6:coauthVersionMax="47" xr10:uidLastSave="{00000000-0000-0000-0000-000000000000}"/>
  <bookViews>
    <workbookView xWindow="-108" yWindow="-108" windowWidth="23256" windowHeight="12456" firstSheet="1" activeTab="1" xr2:uid="{346724B3-1C49-40AE-AA36-C77CF5D6DD09}"/>
  </bookViews>
  <sheets>
    <sheet name="Pivots" sheetId="5" r:id="rId1"/>
    <sheet name="Sheet2" sheetId="6" r:id="rId2"/>
    <sheet name="Sheet1" sheetId="9" r:id="rId3"/>
    <sheet name="Data" sheetId="1" r:id="rId4"/>
    <sheet name="Questions &amp; KPIs" sheetId="2" r:id="rId5"/>
    <sheet name="Dashboard" sheetId="3" r:id="rId6"/>
    <sheet name="Logo &amp; Colors" sheetId="4" r:id="rId7"/>
  </sheets>
  <definedNames>
    <definedName name="_xlchart.v5.0" hidden="1">Pivots!$J$71:$K$71</definedName>
    <definedName name="_xlchart.v5.1" hidden="1">Pivots!$J$72:$K$129</definedName>
    <definedName name="_xlchart.v5.2" hidden="1">Pivots!$L$71</definedName>
    <definedName name="_xlchart.v5.3" hidden="1">Pivots!$L$72:$L$129</definedName>
    <definedName name="_xlchart.v5.4" hidden="1">Pivots!$F$71:$G$71</definedName>
    <definedName name="_xlchart.v5.5" hidden="1">Pivots!$F$72:$G$129</definedName>
    <definedName name="_xlchart.v5.6" hidden="1">Pivots!$H$71</definedName>
    <definedName name="_xlchart.v5.7" hidden="1">Pivots!$H$72:$H$129</definedName>
    <definedName name="Slicer_Gender_Value">#N/A</definedName>
    <definedName name="Slicer_Order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3" i="5" l="1"/>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72" i="5"/>
  <c r="G72" i="5"/>
  <c r="H72" i="5"/>
  <c r="G73" i="5"/>
  <c r="H73" i="5"/>
  <c r="G74" i="5"/>
  <c r="H74" i="5"/>
  <c r="G75" i="5"/>
  <c r="H75" i="5"/>
  <c r="G76" i="5"/>
  <c r="H76" i="5"/>
  <c r="G77" i="5"/>
  <c r="H77" i="5"/>
  <c r="G78" i="5"/>
  <c r="H78" i="5"/>
  <c r="G79" i="5"/>
  <c r="H79" i="5"/>
  <c r="G80" i="5"/>
  <c r="H80" i="5"/>
  <c r="G81" i="5"/>
  <c r="H81" i="5"/>
  <c r="G82" i="5"/>
  <c r="H82" i="5"/>
  <c r="G83" i="5"/>
  <c r="H83" i="5"/>
  <c r="G84" i="5"/>
  <c r="H84" i="5"/>
  <c r="G85" i="5"/>
  <c r="H85" i="5"/>
  <c r="G86" i="5"/>
  <c r="H86" i="5"/>
  <c r="G87" i="5"/>
  <c r="H87" i="5"/>
  <c r="G88" i="5"/>
  <c r="H88" i="5"/>
  <c r="G89" i="5"/>
  <c r="H89" i="5"/>
  <c r="G90" i="5"/>
  <c r="H90" i="5"/>
  <c r="G91" i="5"/>
  <c r="H91" i="5"/>
  <c r="G92" i="5"/>
  <c r="H92" i="5"/>
  <c r="G93" i="5"/>
  <c r="H93" i="5"/>
  <c r="G94" i="5"/>
  <c r="H94" i="5"/>
  <c r="G95" i="5"/>
  <c r="H95" i="5"/>
  <c r="G96" i="5"/>
  <c r="H96" i="5"/>
  <c r="G97" i="5"/>
  <c r="H97" i="5"/>
  <c r="G98" i="5"/>
  <c r="H98" i="5"/>
  <c r="G99" i="5"/>
  <c r="H99" i="5"/>
  <c r="G100" i="5"/>
  <c r="H100" i="5"/>
  <c r="G101" i="5"/>
  <c r="H101" i="5"/>
  <c r="G102" i="5"/>
  <c r="H102" i="5"/>
  <c r="G103" i="5"/>
  <c r="H103" i="5"/>
  <c r="G104" i="5"/>
  <c r="H104" i="5"/>
  <c r="G105" i="5"/>
  <c r="H105" i="5"/>
  <c r="G106" i="5"/>
  <c r="H106" i="5"/>
  <c r="G107" i="5"/>
  <c r="H107" i="5"/>
  <c r="G108" i="5"/>
  <c r="H108" i="5"/>
  <c r="G109" i="5"/>
  <c r="H109" i="5"/>
  <c r="G110" i="5"/>
  <c r="H110" i="5"/>
  <c r="G111" i="5"/>
  <c r="H111" i="5"/>
  <c r="G112" i="5"/>
  <c r="H112" i="5"/>
  <c r="G113" i="5"/>
  <c r="H113" i="5"/>
  <c r="G114" i="5"/>
  <c r="H114" i="5"/>
  <c r="G115" i="5"/>
  <c r="H115" i="5"/>
  <c r="G116" i="5"/>
  <c r="H116" i="5"/>
  <c r="G117" i="5"/>
  <c r="H117" i="5"/>
  <c r="G118" i="5"/>
  <c r="H118" i="5"/>
  <c r="G119" i="5"/>
  <c r="H119" i="5"/>
  <c r="G120" i="5"/>
  <c r="H120" i="5"/>
  <c r="G121" i="5"/>
  <c r="H121" i="5"/>
  <c r="G122" i="5"/>
  <c r="H122" i="5"/>
  <c r="G123" i="5"/>
  <c r="H123" i="5"/>
  <c r="G124" i="5"/>
  <c r="H124" i="5"/>
  <c r="G125" i="5"/>
  <c r="H125" i="5"/>
  <c r="G126" i="5"/>
  <c r="H126" i="5"/>
  <c r="G127" i="5"/>
  <c r="H127" i="5"/>
  <c r="G128" i="5"/>
  <c r="H128" i="5"/>
  <c r="G129" i="5"/>
  <c r="H12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73" i="5"/>
  <c r="F74" i="5"/>
  <c r="F75" i="5"/>
  <c r="F76" i="5"/>
  <c r="F77" i="5"/>
  <c r="F78" i="5"/>
  <c r="F79" i="5"/>
  <c r="F72" i="5"/>
  <c r="I5" i="9"/>
  <c r="J5" i="9"/>
  <c r="K5" i="9"/>
  <c r="L5" i="9"/>
  <c r="I6" i="9"/>
  <c r="J6" i="9"/>
  <c r="K6" i="9"/>
  <c r="L6" i="9"/>
  <c r="I7" i="9"/>
  <c r="J7" i="9"/>
  <c r="K7" i="9"/>
  <c r="L7" i="9"/>
  <c r="I8" i="9"/>
  <c r="J8" i="9"/>
  <c r="K8" i="9"/>
  <c r="L8" i="9"/>
  <c r="I9" i="9"/>
  <c r="J9" i="9"/>
  <c r="K9" i="9"/>
  <c r="L9" i="9"/>
  <c r="H6" i="9"/>
  <c r="H7" i="9"/>
  <c r="H8" i="9"/>
  <c r="H9" i="9"/>
  <c r="H5" i="9"/>
  <c r="L4" i="5"/>
  <c r="K4" i="5"/>
  <c r="J4" i="5"/>
  <c r="I4" i="5"/>
  <c r="H4" i="5"/>
  <c r="O2401" i="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<sst xmlns="http://schemas.openxmlformats.org/spreadsheetml/2006/main" count="14681" uniqueCount="2581">
  <si>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</si>
  <si>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</si>
  <si>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</si>
  <si>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</si>
  <si>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</si>
  <si>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</si>
  <si>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</si>
  <si>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</si>
  <si>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</si>
  <si>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</si>
  <si>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</si>
  <si>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</si>
  <si>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</si>
  <si>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</si>
  <si>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</si>
  <si>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</si>
  <si>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</si>
  <si>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</si>
  <si>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</si>
  <si>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</si>
  <si>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</si>
  <si>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</si>
  <si>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</si>
  <si>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</si>
  <si>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</si>
  <si>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</si>
  <si>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</si>
  <si>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</si>
  <si>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</si>
  <si>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</si>
  <si>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</si>
  <si>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</si>
  <si>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</si>
  <si>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</si>
  <si>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</si>
  <si>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</si>
  <si>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</si>
  <si>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</si>
  <si>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</si>
  <si>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</si>
  <si>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</si>
  <si>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</si>
  <si>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</si>
  <si>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</si>
  <si>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</si>
  <si>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</si>
  <si>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</si>
  <si>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</si>
  <si>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</si>
  <si>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</si>
  <si>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</si>
  <si>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</si>
  <si>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</si>
  <si>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</si>
  <si>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</si>
  <si>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</si>
  <si>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</si>
  <si>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</si>
  <si>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</si>
  <si>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</si>
  <si>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</si>
  <si>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</si>
  <si>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</si>
  <si>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</si>
  <si>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</si>
  <si>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</si>
  <si>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</si>
  <si>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</si>
  <si>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</si>
  <si>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</si>
  <si>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</si>
  <si>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</si>
  <si>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</si>
  <si>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</si>
  <si>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</si>
  <si>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</si>
  <si>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</si>
  <si>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</si>
  <si>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</si>
  <si>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</si>
  <si>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</si>
  <si>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</si>
  <si>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</si>
  <si>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</si>
  <si>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</si>
  <si>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</si>
  <si>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</si>
  <si>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</si>
  <si>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</si>
  <si>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</si>
  <si>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</si>
  <si>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</si>
  <si>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</si>
  <si>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</si>
  <si>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</si>
  <si>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</si>
  <si>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</si>
  <si>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</si>
  <si>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</si>
  <si>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</si>
  <si>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</si>
  <si>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</si>
  <si>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</si>
  <si>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</si>
  <si>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</si>
  <si>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</si>
  <si>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</si>
  <si>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</si>
  <si>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</si>
  <si>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</si>
  <si>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</si>
  <si>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</si>
  <si>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</si>
  <si>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</si>
  <si>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</si>
  <si>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</si>
  <si>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</si>
  <si>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</si>
  <si>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</si>
  <si>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</si>
  <si>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</si>
  <si>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</si>
  <si>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</si>
  <si>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</si>
  <si>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</si>
  <si>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</si>
  <si>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</si>
  <si>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</si>
  <si>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</si>
  <si>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</si>
  <si>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</si>
  <si>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</si>
  <si>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</si>
  <si>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</si>
  <si>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</si>
  <si>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</si>
  <si>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</si>
  <si>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</si>
  <si>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</si>
  <si>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</si>
  <si>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</si>
  <si>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</si>
  <si>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</si>
  <si>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</si>
  <si>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</si>
  <si>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</si>
  <si>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</si>
  <si>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</si>
  <si>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</si>
  <si>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</si>
  <si>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</si>
  <si>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</si>
  <si>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</si>
  <si>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</si>
  <si>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</si>
  <si>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</si>
  <si>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</si>
  <si>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</si>
  <si>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</si>
  <si>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</si>
  <si>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</si>
  <si>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</si>
  <si>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</si>
  <si>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</si>
  <si>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</si>
  <si>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</si>
  <si>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</si>
  <si>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</si>
  <si>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</si>
  <si>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</si>
  <si>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</si>
  <si>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</si>
  <si>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</si>
  <si>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</si>
  <si>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</si>
  <si>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</si>
  <si>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</si>
  <si>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</si>
  <si>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</si>
  <si>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</si>
  <si>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</si>
  <si>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</si>
  <si>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</si>
  <si>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</si>
  <si>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</si>
  <si>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</si>
  <si>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</si>
  <si>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</si>
  <si>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</si>
  <si>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</si>
  <si>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</si>
  <si>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</si>
  <si>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</si>
  <si>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</si>
  <si>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</si>
  <si>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</si>
  <si>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</si>
  <si>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</si>
  <si>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</si>
  <si>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</si>
  <si>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</si>
  <si>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</si>
  <si>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</si>
  <si>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</si>
  <si>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</si>
  <si>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</si>
  <si>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</si>
  <si>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</si>
  <si>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</si>
  <si>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</si>
  <si>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</si>
  <si>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</si>
  <si>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</si>
  <si>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</si>
  <si>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</si>
  <si>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</si>
  <si>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</si>
  <si>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</si>
  <si>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</si>
  <si>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</si>
  <si>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</si>
  <si>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</si>
  <si>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</si>
  <si>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</si>
  <si>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</si>
  <si>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</si>
  <si>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</si>
  <si>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</si>
  <si>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</si>
  <si>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</si>
  <si>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</si>
  <si>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</si>
  <si>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</si>
  <si>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</si>
  <si>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</si>
  <si>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</si>
  <si>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</si>
  <si>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</si>
  <si>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</si>
  <si>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</si>
  <si>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</si>
  <si>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</si>
  <si>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</si>
  <si>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</si>
  <si>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</si>
  <si>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</si>
  <si>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</si>
  <si>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</si>
  <si>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</si>
  <si>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</si>
  <si>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</si>
  <si>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</si>
  <si>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</si>
  <si>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</si>
  <si>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</si>
  <si>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</si>
  <si>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</si>
  <si>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</si>
  <si>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</si>
  <si>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</si>
  <si>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</si>
  <si>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</si>
  <si>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</si>
  <si>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</si>
  <si>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</si>
  <si>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</si>
  <si>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</si>
  <si>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</si>
  <si>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</si>
  <si>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</si>
  <si>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</si>
  <si>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</si>
  <si>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</si>
  <si>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</si>
  <si>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</si>
  <si>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</si>
  <si>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</si>
  <si>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</si>
  <si>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</si>
  <si>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</si>
  <si>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</si>
  <si>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</si>
  <si>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</si>
  <si>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</si>
  <si>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</si>
  <si>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</si>
  <si>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</si>
  <si>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</si>
  <si>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</si>
  <si>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</si>
  <si>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</si>
  <si>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</si>
  <si>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</si>
  <si>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</si>
  <si>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</si>
  <si>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</si>
  <si>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</si>
  <si>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</si>
  <si>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</si>
  <si>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</si>
  <si>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</si>
  <si>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</si>
  <si>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</si>
  <si>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</si>
  <si>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</si>
  <si>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</si>
  <si>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</si>
  <si>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</si>
  <si>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</si>
  <si>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</si>
  <si>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</si>
  <si>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</si>
  <si>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</si>
  <si>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</si>
  <si>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</si>
  <si>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</si>
  <si>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</si>
  <si>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</si>
  <si>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</si>
  <si>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</si>
  <si>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</si>
  <si>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</si>
  <si>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</si>
  <si>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</si>
  <si>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</si>
  <si>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</si>
  <si>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</si>
  <si>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</si>
  <si>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</si>
  <si>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</si>
  <si>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</si>
  <si>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</si>
  <si>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</si>
  <si>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</si>
  <si>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</si>
  <si>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</si>
  <si>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</si>
  <si>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</si>
  <si>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</si>
  <si>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</si>
  <si>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</si>
  <si>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</si>
  <si>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</si>
  <si>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</si>
  <si>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</si>
  <si>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</si>
  <si>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</si>
  <si>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</si>
  <si>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</si>
  <si>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</si>
  <si>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</si>
  <si>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</si>
  <si>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</si>
  <si>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</si>
  <si>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</si>
  <si>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</si>
  <si>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</si>
  <si>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</si>
  <si>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</si>
  <si>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</si>
  <si>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</si>
  <si>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</si>
  <si>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</si>
  <si>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</si>
  <si>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</si>
  <si>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</si>
  <si>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</si>
  <si>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</si>
  <si>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</si>
  <si>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</si>
  <si>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</si>
  <si>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</si>
  <si>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</si>
  <si>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</si>
  <si>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</si>
  <si>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</si>
  <si>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</si>
  <si>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</si>
  <si>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</si>
  <si>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</si>
  <si>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</si>
  <si>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</si>
  <si>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</si>
  <si>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</si>
  <si>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</si>
  <si>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</si>
  <si>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</si>
  <si>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</si>
  <si>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</si>
  <si>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</si>
  <si>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</si>
  <si>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</si>
  <si>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</si>
  <si>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</si>
  <si>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</si>
  <si>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</si>
  <si>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</si>
  <si>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</si>
  <si>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</si>
  <si>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</si>
  <si>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</si>
  <si>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</si>
  <si>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</si>
  <si>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</si>
  <si>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</si>
  <si>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</si>
  <si>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</si>
  <si>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</si>
  <si>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</si>
  <si>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</si>
  <si>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</si>
  <si>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</si>
  <si>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</si>
  <si>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</si>
  <si>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</si>
  <si>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</si>
  <si>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</si>
  <si>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</si>
  <si>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</si>
  <si>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</si>
  <si>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</si>
  <si>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</si>
  <si>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</si>
  <si>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</si>
  <si>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</si>
  <si>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</si>
  <si>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</si>
  <si>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</si>
  <si>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</si>
  <si>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</si>
  <si>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</si>
  <si>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</si>
  <si>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</si>
  <si>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</si>
  <si>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</si>
  <si>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</si>
  <si>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</si>
  <si>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</si>
  <si>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</si>
  <si>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</si>
  <si>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</si>
  <si>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</si>
  <si>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</si>
  <si>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</si>
  <si>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</si>
  <si>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</si>
  <si>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</si>
  <si>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</si>
  <si>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</si>
  <si>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</si>
  <si>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</si>
  <si>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</si>
  <si>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</si>
  <si>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</si>
  <si>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</si>
  <si>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</si>
  <si>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</si>
  <si>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</si>
  <si>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</si>
  <si>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</si>
  <si>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</si>
  <si>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</si>
  <si>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</si>
  <si>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</si>
  <si>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</si>
  <si>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</si>
  <si>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</si>
  <si>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</si>
  <si>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</si>
  <si>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</si>
  <si>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</si>
  <si>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</si>
  <si>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</si>
  <si>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</si>
  <si>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</si>
  <si>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</si>
  <si>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</si>
  <si>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</si>
  <si>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</si>
  <si>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</si>
  <si>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</si>
  <si>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</si>
  <si>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</si>
  <si>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</si>
  <si>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</si>
  <si>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</si>
  <si>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</si>
  <si>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</si>
  <si>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</si>
  <si>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</si>
  <si>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</si>
  <si>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</si>
  <si>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</si>
  <si>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</si>
  <si>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</si>
  <si>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</si>
  <si>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</si>
  <si>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</si>
  <si>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</si>
  <si>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</si>
  <si>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</si>
  <si>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</si>
  <si>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</si>
  <si>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</si>
  <si>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</si>
  <si>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</si>
  <si>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</si>
  <si>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</si>
  <si>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</si>
  <si>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</si>
  <si>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</si>
  <si>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</si>
  <si>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</si>
  <si>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</si>
  <si>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</si>
  <si>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</si>
  <si>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</si>
  <si>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</si>
  <si>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</si>
  <si>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</si>
  <si>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</si>
  <si>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</si>
  <si>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</si>
  <si>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</si>
  <si>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</si>
  <si>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</si>
  <si>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</si>
  <si>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</si>
  <si>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</si>
  <si>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</si>
  <si>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</si>
  <si>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</si>
  <si>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</si>
  <si>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</si>
  <si>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</si>
  <si>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</si>
  <si>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</si>
  <si>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</si>
  <si>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</si>
  <si>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</si>
  <si>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</si>
  <si>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</si>
  <si>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</si>
  <si>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</si>
  <si>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</si>
  <si>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</si>
  <si>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</si>
  <si>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</si>
  <si>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</si>
  <si>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</si>
  <si>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</si>
  <si>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</si>
  <si>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</si>
  <si>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</si>
  <si>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</si>
  <si>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</si>
  <si>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</si>
  <si>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</si>
  <si>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</si>
  <si>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</si>
  <si>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</si>
  <si>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</si>
  <si>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</si>
  <si>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</si>
  <si>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</si>
  <si>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</si>
  <si>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</si>
  <si>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</si>
  <si>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</si>
  <si>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</si>
  <si>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</si>
  <si>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</si>
  <si>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</si>
  <si>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</si>
  <si>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</si>
  <si>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</si>
  <si>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</si>
  <si>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</si>
  <si>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</si>
  <si>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</si>
  <si>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</si>
  <si>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</si>
  <si>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</si>
  <si>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</si>
  <si>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</si>
  <si>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</si>
  <si>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</si>
  <si>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</si>
  <si>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</si>
  <si>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</si>
  <si>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</si>
  <si>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</si>
  <si>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</si>
  <si>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</si>
  <si>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</si>
  <si>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</si>
  <si>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</si>
  <si>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</si>
  <si>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</si>
  <si>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</si>
  <si>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</si>
  <si>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</si>
  <si>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</si>
  <si>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</si>
  <si>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</si>
  <si>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</si>
  <si>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</si>
  <si>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</si>
  <si>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</si>
  <si>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</si>
  <si>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</si>
  <si>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</si>
  <si>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</si>
  <si>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</si>
  <si>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</si>
  <si>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</si>
  <si>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</si>
  <si>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</si>
  <si>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</si>
  <si>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</si>
  <si>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</si>
  <si>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</si>
  <si>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</si>
  <si>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</si>
  <si>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</si>
  <si>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</si>
  <si>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</si>
  <si>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</si>
  <si>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</si>
  <si>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</si>
  <si>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</si>
  <si>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</si>
  <si>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</si>
  <si>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</si>
  <si>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</si>
  <si>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</si>
  <si>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</si>
  <si>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</si>
  <si>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</si>
  <si>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</si>
  <si>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</si>
  <si>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</si>
  <si>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</si>
  <si>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</si>
  <si>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</si>
  <si>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</si>
  <si>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</si>
  <si>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</si>
  <si>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</si>
  <si>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</si>
  <si>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</si>
  <si>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</si>
  <si>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</si>
  <si>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</si>
  <si>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</si>
  <si>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</si>
  <si>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</si>
  <si>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</si>
  <si>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</si>
  <si>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</si>
  <si>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</si>
  <si>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</si>
  <si>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</si>
  <si>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</si>
  <si>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</si>
  <si>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</si>
  <si>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</si>
  <si>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</si>
  <si>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</si>
  <si>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</si>
  <si>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</si>
  <si>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</si>
  <si>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</si>
  <si>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</si>
  <si>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</si>
  <si>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</si>
  <si>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</si>
  <si>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</si>
  <si>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</si>
  <si>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</si>
  <si>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</si>
  <si>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</si>
  <si>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</si>
  <si>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</si>
  <si>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</si>
  <si>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</si>
  <si>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</si>
  <si>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</si>
  <si>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</si>
  <si>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</si>
  <si>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</si>
  <si>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</si>
  <si>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</si>
  <si>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</si>
  <si>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</si>
  <si>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</si>
  <si>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</si>
  <si>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</si>
  <si>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</si>
  <si>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</si>
  <si>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</si>
  <si>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</si>
  <si>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</si>
  <si>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</si>
  <si>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</si>
  <si>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</si>
  <si>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</si>
  <si>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</si>
  <si>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</si>
  <si>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</si>
  <si>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</si>
  <si>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</si>
  <si>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</si>
  <si>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</si>
  <si>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</si>
  <si>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</si>
  <si>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</si>
  <si>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</si>
  <si>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</si>
  <si>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</si>
  <si>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</si>
  <si>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</si>
  <si>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</si>
  <si>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</si>
  <si>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</si>
  <si>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</si>
  <si>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</si>
  <si>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</si>
  <si>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</si>
  <si>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</si>
  <si>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</si>
  <si>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</si>
  <si>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</si>
  <si>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</si>
  <si>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</si>
  <si>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</si>
  <si>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</si>
  <si>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</si>
  <si>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</si>
  <si>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</si>
  <si>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</si>
  <si>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</si>
  <si>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</si>
  <si>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</si>
  <si>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</si>
  <si>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</si>
  <si>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</si>
  <si>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</si>
  <si>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</si>
  <si>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</si>
  <si>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</si>
  <si>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</si>
  <si>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</si>
  <si>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</si>
  <si>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</si>
  <si>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</si>
  <si>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</si>
  <si>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</si>
  <si>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</si>
  <si>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</si>
  <si>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</si>
  <si>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</si>
  <si>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</si>
  <si>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</si>
  <si>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</si>
  <si>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</si>
  <si>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</si>
  <si>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</si>
  <si>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</si>
  <si>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</si>
  <si>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</si>
  <si>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</si>
  <si>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</si>
  <si>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</si>
  <si>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</si>
  <si>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</si>
  <si>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</si>
  <si>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</si>
  <si>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</si>
  <si>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</si>
  <si>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</si>
  <si>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</si>
  <si>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</si>
  <si>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</si>
  <si>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</si>
  <si>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</si>
  <si>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</si>
  <si>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</si>
  <si>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</si>
  <si>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</si>
  <si>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</si>
  <si>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</si>
  <si>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</si>
  <si>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</si>
  <si>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</si>
  <si>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</si>
  <si>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</si>
  <si>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</si>
  <si>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</si>
  <si>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</si>
  <si>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</si>
  <si>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</si>
  <si>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</si>
  <si>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</si>
  <si>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</si>
  <si>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</si>
  <si>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</si>
  <si>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</si>
  <si>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</si>
  <si>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</si>
  <si>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</si>
  <si>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</si>
  <si>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</si>
  <si>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</si>
  <si>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</si>
  <si>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</si>
  <si>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</si>
  <si>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</si>
  <si>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</si>
  <si>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</si>
  <si>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</si>
  <si>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</si>
  <si>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</si>
  <si>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</si>
  <si>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</si>
  <si>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</si>
  <si>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</si>
  <si>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</si>
  <si>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</si>
  <si>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</si>
  <si>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</si>
  <si>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</si>
  <si>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</si>
  <si>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</si>
  <si>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</si>
  <si>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</si>
  <si>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</si>
  <si>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</si>
  <si>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</si>
  <si>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</si>
  <si>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</si>
  <si>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</si>
  <si>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</si>
  <si>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</si>
  <si>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</si>
  <si>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</si>
  <si>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</si>
  <si>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</si>
  <si>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</si>
  <si>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</si>
  <si>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</si>
  <si>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</si>
  <si>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</si>
  <si>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</si>
  <si>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</si>
  <si>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</si>
  <si>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</si>
  <si>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</si>
  <si>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</si>
  <si>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</si>
  <si>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</si>
  <si>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</si>
  <si>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</si>
  <si>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</si>
  <si>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</si>
  <si>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</si>
  <si>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</si>
  <si>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</si>
  <si>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</si>
  <si>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</si>
  <si>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</si>
  <si>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</si>
  <si>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</si>
  <si>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</si>
  <si>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</si>
  <si>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</si>
  <si>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</si>
  <si>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</si>
  <si>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</si>
  <si>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</si>
  <si>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</si>
  <si>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</si>
  <si>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</si>
  <si>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</si>
  <si>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</si>
  <si>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</si>
  <si>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</si>
  <si>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</si>
  <si>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</si>
  <si>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</si>
  <si>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</si>
  <si>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</si>
  <si>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</si>
  <si>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</si>
  <si>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</si>
  <si>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</si>
  <si>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</si>
  <si>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</si>
  <si>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</si>
  <si>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</si>
  <si>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</si>
  <si>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</si>
  <si>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</si>
  <si>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</si>
  <si>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</si>
  <si>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</si>
  <si>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</si>
  <si>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</si>
  <si>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</si>
  <si>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</si>
  <si>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</si>
  <si>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</si>
  <si>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</si>
  <si>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</si>
  <si>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</si>
  <si>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</si>
  <si>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</si>
  <si>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</si>
  <si>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</si>
  <si>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</si>
  <si>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</si>
  <si>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</si>
  <si>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</si>
  <si>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</si>
  <si>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</si>
  <si>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</si>
  <si>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</si>
  <si>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</si>
  <si>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</si>
  <si>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</si>
  <si>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</si>
  <si>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</si>
  <si>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</si>
  <si>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</si>
  <si>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</si>
  <si>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</si>
  <si>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</si>
  <si>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</si>
  <si>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</si>
  <si>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</si>
  <si>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</si>
  <si>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</si>
  <si>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</si>
  <si>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</si>
  <si>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</si>
  <si>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</si>
  <si>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</si>
  <si>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</si>
  <si>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</si>
  <si>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</si>
  <si>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</si>
  <si>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</si>
  <si>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</si>
  <si>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</si>
  <si>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</si>
  <si>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</si>
  <si>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</si>
  <si>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</si>
  <si>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</si>
  <si>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</si>
  <si>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</si>
  <si>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</si>
  <si>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</si>
  <si>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</si>
  <si>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</si>
  <si>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</si>
  <si>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</si>
  <si>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</si>
  <si>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</si>
  <si>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</si>
  <si>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</si>
  <si>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</si>
  <si>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</si>
  <si>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</si>
  <si>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</si>
  <si>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</si>
  <si>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</si>
  <si>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</si>
  <si>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</si>
  <si>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</si>
  <si>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</si>
  <si>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</si>
  <si>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</si>
  <si>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</si>
  <si>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</si>
  <si>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</si>
  <si>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</si>
  <si>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</si>
  <si>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</si>
  <si>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</si>
  <si>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</si>
  <si>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</si>
  <si>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</si>
  <si>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</si>
  <si>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</si>
  <si>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</si>
  <si>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</si>
  <si>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</si>
  <si>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</si>
  <si>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</si>
  <si>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</si>
  <si>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</si>
  <si>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</si>
  <si>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</si>
  <si>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</si>
  <si>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</si>
  <si>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</si>
  <si>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</si>
  <si>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</si>
  <si>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</si>
  <si>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</si>
  <si>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</si>
  <si>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</si>
  <si>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</si>
  <si>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</si>
  <si>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</si>
  <si>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</si>
  <si>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</si>
  <si>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</si>
  <si>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</si>
  <si>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</si>
  <si>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</si>
  <si>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</si>
  <si>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</si>
  <si>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</si>
  <si>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</si>
  <si>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</si>
  <si>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</si>
  <si>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</si>
  <si>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</si>
  <si>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</si>
  <si>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</si>
  <si>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</si>
  <si>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</si>
  <si>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</si>
  <si>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</si>
  <si>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</si>
  <si>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</si>
  <si>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</si>
  <si>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</si>
  <si>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</si>
  <si>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</si>
  <si>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</si>
  <si>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</si>
  <si>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</si>
  <si>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</si>
  <si>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</si>
  <si>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</si>
  <si>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</si>
  <si>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</si>
  <si>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</si>
  <si>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</si>
  <si>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</si>
  <si>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</si>
  <si>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</si>
  <si>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</si>
  <si>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</si>
  <si>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</si>
  <si>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</si>
  <si>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</si>
  <si>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</si>
  <si>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</si>
  <si>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</si>
  <si>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</si>
  <si>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</si>
  <si>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</si>
  <si>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</si>
  <si>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</si>
  <si>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</si>
  <si>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</si>
  <si>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</si>
  <si>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</si>
  <si>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</si>
  <si>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</si>
  <si>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</si>
  <si>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</si>
  <si>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</si>
  <si>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</si>
  <si>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</si>
  <si>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</si>
  <si>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</si>
  <si>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</si>
  <si>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</si>
  <si>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</si>
  <si>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</si>
  <si>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</si>
  <si>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</si>
  <si>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</si>
  <si>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</si>
  <si>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</si>
  <si>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</si>
  <si>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</si>
  <si>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</si>
  <si>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</si>
  <si>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</si>
  <si>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</si>
  <si>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</si>
  <si>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</si>
  <si>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</si>
  <si>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</si>
  <si>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</si>
  <si>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</si>
  <si>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</si>
  <si>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</si>
  <si>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</si>
  <si>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</si>
  <si>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</si>
  <si>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</si>
  <si>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</si>
  <si>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</si>
  <si>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</si>
  <si>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</si>
  <si>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</si>
  <si>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</si>
  <si>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</si>
  <si>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</si>
  <si>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</si>
  <si>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</si>
  <si>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</si>
  <si>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</si>
  <si>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</si>
  <si>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</si>
  <si>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</si>
  <si>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</si>
  <si>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</si>
  <si>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</si>
  <si>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</si>
  <si>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</si>
  <si>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</si>
  <si>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</si>
  <si>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</si>
  <si>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</si>
  <si>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</si>
  <si>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</si>
  <si>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</si>
  <si>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</si>
  <si>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</si>
  <si>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</si>
  <si>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</si>
  <si>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</si>
  <si>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</si>
  <si>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</si>
  <si>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</si>
  <si>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</si>
  <si>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</si>
  <si>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</si>
  <si>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</si>
  <si>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</si>
  <si>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</si>
  <si>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</si>
  <si>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</si>
  <si>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</si>
  <si>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</si>
  <si>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</si>
  <si>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</si>
  <si>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</si>
  <si>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</si>
  <si>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</si>
  <si>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</si>
  <si>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</si>
  <si>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</si>
  <si>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</si>
  <si>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</si>
  <si>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</si>
  <si>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</si>
  <si>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</si>
  <si>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</si>
  <si>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</si>
  <si>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</si>
  <si>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</si>
  <si>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</si>
  <si>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</si>
  <si>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</si>
  <si>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</si>
  <si>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</si>
  <si>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</si>
  <si>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</si>
  <si>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</si>
  <si>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</si>
  <si>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</si>
  <si>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</si>
  <si>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</si>
  <si>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</si>
  <si>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</si>
  <si>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</si>
  <si>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</si>
  <si>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</si>
  <si>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</si>
  <si>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</si>
  <si>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</si>
  <si>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</si>
  <si>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</si>
  <si>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</si>
  <si>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</si>
  <si>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</si>
  <si>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</si>
  <si>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</si>
  <si>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</si>
  <si>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</si>
  <si>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</si>
  <si>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</si>
  <si>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</si>
  <si>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</si>
  <si>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</si>
  <si>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</si>
  <si>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</si>
  <si>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</si>
  <si>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</si>
  <si>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</si>
  <si>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</si>
  <si>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</si>
  <si>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</si>
  <si>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</si>
  <si>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</si>
  <si>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</si>
  <si>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</si>
  <si>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</si>
  <si>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</si>
  <si>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</si>
  <si>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</si>
  <si>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</si>
  <si>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</si>
  <si>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</si>
  <si>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</si>
  <si>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</si>
  <si>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</si>
  <si>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</si>
  <si>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</si>
  <si>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</si>
  <si>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</si>
  <si>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</si>
  <si>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</si>
  <si>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</si>
  <si>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</si>
  <si>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</si>
  <si>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</si>
  <si>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</si>
  <si>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</si>
  <si>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</si>
  <si>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</si>
  <si>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</si>
  <si>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</si>
  <si>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</si>
  <si>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</si>
  <si>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</si>
  <si>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</si>
  <si>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</si>
  <si>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</si>
  <si>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</si>
  <si>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</si>
  <si>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</si>
  <si>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</si>
  <si>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</si>
  <si>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</si>
  <si>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</si>
  <si>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</si>
  <si>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</si>
  <si>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</si>
  <si>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</si>
  <si>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</si>
  <si>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</si>
  <si>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</si>
  <si>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</si>
  <si>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</si>
  <si>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</si>
  <si>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</si>
  <si>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</si>
  <si>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</si>
  <si>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</si>
  <si>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</si>
  <si>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</si>
  <si>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</si>
  <si>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</si>
  <si>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</si>
  <si>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</si>
  <si>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</si>
  <si>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</si>
  <si>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</si>
  <si>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</si>
  <si>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</si>
  <si>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</si>
  <si>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</si>
  <si>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</si>
  <si>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</si>
  <si>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</si>
  <si>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</si>
  <si>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</si>
  <si>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</si>
  <si>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</si>
  <si>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</si>
  <si>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</si>
  <si>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</si>
  <si>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</si>
  <si>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</si>
  <si>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</si>
  <si>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</si>
  <si>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</si>
  <si>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</si>
  <si>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</si>
  <si>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</si>
  <si>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</si>
  <si>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</si>
  <si>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</si>
  <si>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</si>
  <si>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</si>
  <si>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</si>
  <si>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</si>
  <si>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</si>
  <si>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</si>
  <si>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</si>
  <si>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</si>
  <si>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</si>
  <si>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</si>
  <si>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</si>
  <si>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</si>
  <si>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</si>
  <si>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</si>
  <si>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</si>
  <si>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</si>
  <si>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</si>
  <si>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</si>
  <si>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</si>
  <si>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</si>
  <si>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</si>
  <si>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</si>
  <si>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</si>
  <si>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</si>
  <si>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</si>
  <si>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</si>
  <si>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</si>
  <si>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</si>
  <si>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</si>
  <si>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</si>
  <si>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</si>
  <si>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</si>
  <si>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</si>
  <si>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</si>
  <si>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</si>
  <si>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</si>
  <si>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</si>
  <si>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</si>
  <si>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</si>
  <si>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</si>
  <si>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</si>
  <si>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</si>
  <si>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</si>
  <si>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</si>
  <si>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</si>
  <si>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</si>
  <si>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</si>
  <si>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</si>
  <si>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</si>
  <si>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</si>
  <si>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</si>
  <si>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</si>
  <si>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</si>
  <si>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</si>
  <si>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</si>
  <si>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</si>
  <si>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</si>
  <si>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</si>
  <si>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</si>
  <si>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</si>
  <si>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</si>
  <si>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</si>
  <si>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</si>
  <si>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</si>
  <si>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</si>
  <si>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</si>
  <si>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</si>
  <si>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</si>
  <si>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</si>
  <si>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</si>
  <si>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</si>
  <si>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</si>
  <si>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</si>
  <si>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</si>
  <si>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</si>
  <si>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</si>
  <si>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</si>
  <si>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</si>
  <si>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</si>
  <si>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</si>
  <si>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</si>
  <si>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</si>
  <si>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</si>
  <si>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</si>
  <si>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</si>
  <si>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</si>
  <si>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</si>
  <si>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</si>
  <si>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</si>
  <si>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</si>
  <si>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</si>
  <si>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</si>
  <si>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</si>
  <si>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</si>
  <si>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</si>
  <si>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</si>
  <si>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</si>
  <si>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</si>
  <si>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</si>
  <si>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</si>
  <si>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</si>
  <si>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</si>
  <si>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</si>
  <si>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</si>
  <si>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</si>
  <si>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</si>
  <si>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</si>
  <si>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</si>
  <si>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</si>
  <si>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</si>
  <si>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</si>
  <si>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</si>
  <si>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</si>
  <si>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</si>
  <si>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</si>
  <si>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</si>
  <si>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</si>
  <si>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</si>
  <si>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</si>
  <si>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</si>
  <si>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</si>
  <si>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</si>
  <si>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</si>
  <si>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</si>
  <si>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</si>
  <si>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</si>
  <si>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</si>
  <si>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</si>
  <si>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</si>
  <si>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</si>
  <si>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</si>
  <si>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</si>
  <si>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</si>
  <si>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</si>
  <si>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</si>
  <si>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</si>
  <si>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</si>
  <si>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</si>
  <si>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</si>
  <si>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</si>
  <si>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</si>
  <si>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</si>
  <si>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</si>
  <si>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</si>
  <si>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</si>
  <si>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</si>
  <si>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</si>
  <si>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</si>
  <si>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</si>
  <si>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</si>
  <si>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</si>
  <si>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</si>
  <si>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</si>
  <si>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</si>
  <si>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</si>
  <si>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</si>
  <si>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</si>
  <si>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</si>
  <si>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</si>
  <si>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</si>
  <si>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</si>
  <si>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</si>
  <si>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</si>
  <si>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</si>
  <si>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</si>
  <si>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</si>
  <si>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</si>
  <si>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</si>
  <si>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</si>
  <si>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</si>
  <si>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</si>
  <si>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</si>
  <si>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</si>
  <si>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</si>
  <si>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</si>
  <si>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</si>
  <si>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</si>
  <si>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</si>
  <si>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</si>
  <si>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</si>
  <si>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</si>
  <si>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</si>
  <si>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</si>
  <si>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</si>
  <si>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</si>
  <si>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</si>
  <si>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</si>
  <si>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</si>
  <si>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</si>
  <si>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</si>
  <si>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</si>
  <si>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</si>
  <si>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</si>
  <si>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</si>
  <si>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</si>
  <si>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</si>
  <si>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</si>
  <si>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</si>
  <si>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</si>
  <si>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</si>
  <si>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</si>
  <si>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</si>
  <si>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</si>
  <si>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</si>
  <si>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</si>
  <si>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</si>
  <si>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</si>
  <si>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</si>
  <si>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</si>
  <si>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</si>
  <si>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</si>
  <si>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</si>
  <si>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</si>
  <si>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</si>
  <si>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</si>
  <si>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</si>
  <si>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</si>
  <si>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</si>
  <si>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</si>
  <si>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</si>
  <si>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</si>
  <si>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</si>
  <si>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</si>
  <si>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</si>
  <si>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</si>
  <si>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</si>
  <si>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</si>
  <si>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</si>
  <si>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</si>
  <si>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</si>
  <si>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</si>
  <si>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</si>
  <si>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</si>
  <si>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</si>
  <si>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</si>
  <si>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</si>
  <si>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</si>
  <si>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</si>
  <si>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</si>
  <si>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</si>
  <si>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</si>
  <si>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</si>
  <si>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</si>
  <si>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</si>
  <si>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</si>
  <si>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</si>
  <si>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</si>
  <si>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</si>
  <si>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</si>
  <si>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</si>
  <si>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</si>
  <si>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</si>
  <si>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</si>
  <si>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</si>
  <si>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</si>
  <si>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</si>
  <si>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</si>
  <si>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</si>
  <si>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</si>
  <si>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</si>
  <si>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</si>
  <si>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</si>
  <si>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</si>
  <si>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</si>
  <si>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</si>
  <si>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</si>
  <si>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</si>
  <si>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</si>
  <si>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</si>
  <si>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</si>
  <si>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</si>
  <si>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</si>
  <si>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</si>
  <si>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</si>
  <si>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</si>
  <si>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</si>
  <si>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</si>
  <si>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</si>
  <si>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</si>
  <si>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</si>
  <si>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</si>
  <si>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</si>
  <si>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</si>
  <si>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</si>
  <si>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</si>
  <si>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</si>
  <si>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</si>
  <si>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</si>
  <si>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</si>
  <si>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</si>
  <si>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</si>
  <si>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</si>
  <si>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</si>
  <si>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</si>
  <si>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</si>
  <si>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</si>
  <si>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</si>
  <si>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</si>
  <si>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</si>
  <si>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</si>
  <si>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</si>
  <si>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</si>
  <si>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</si>
  <si>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</si>
  <si>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</si>
  <si>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</si>
  <si>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</si>
  <si>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</si>
  <si>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</si>
  <si>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</si>
  <si>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</si>
  <si>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</si>
  <si>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</si>
  <si>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</si>
  <si>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</si>
  <si>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</si>
  <si>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</si>
  <si>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</si>
  <si>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</si>
  <si>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</si>
  <si>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</si>
  <si>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</si>
  <si>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</si>
  <si>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</si>
  <si>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</si>
  <si>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</si>
  <si>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</si>
  <si>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</si>
  <si>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</si>
  <si>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</si>
  <si>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</si>
  <si>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</si>
  <si>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</si>
  <si>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</si>
  <si>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</si>
  <si>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</si>
  <si>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</si>
  <si>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</si>
  <si>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</si>
  <si>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</si>
  <si>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</si>
  <si>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</si>
  <si>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</si>
  <si>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</si>
  <si>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</si>
  <si>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</si>
  <si>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</si>
  <si>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</si>
  <si>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</si>
  <si>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</si>
  <si>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</si>
  <si>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</si>
  <si>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</si>
  <si>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</si>
  <si>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</si>
  <si>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</si>
  <si>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</si>
  <si>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</si>
  <si>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</si>
  <si>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</si>
  <si>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</si>
  <si>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</si>
  <si>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</si>
  <si>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</si>
  <si>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</si>
  <si>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</si>
  <si>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</si>
  <si>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</si>
  <si>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</si>
  <si>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</si>
  <si>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</si>
  <si>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</si>
  <si>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</si>
  <si>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</si>
  <si>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</si>
  <si>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</si>
  <si>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</si>
  <si>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</si>
  <si>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</si>
  <si>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</si>
  <si>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</si>
  <si>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</si>
  <si>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</si>
  <si>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</si>
  <si>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</si>
  <si>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</si>
  <si>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</si>
  <si>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</si>
  <si>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</si>
  <si>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</si>
  <si>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</si>
  <si>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</si>
  <si>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</si>
  <si>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</si>
  <si>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</si>
  <si>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</si>
  <si>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</si>
  <si>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</si>
  <si>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</si>
  <si>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</si>
  <si>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</si>
  <si>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</si>
  <si>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</si>
  <si>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</si>
  <si>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</si>
  <si>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</si>
  <si>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</si>
  <si>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</si>
  <si>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</si>
  <si>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</si>
  <si>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</si>
  <si>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</si>
  <si>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</si>
  <si>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</si>
  <si>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</si>
  <si>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</si>
  <si>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</si>
  <si>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</si>
  <si>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</si>
  <si>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</si>
  <si>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</si>
  <si>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</si>
  <si>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</si>
  <si>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</si>
  <si>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</si>
  <si>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</si>
  <si>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</si>
  <si>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</si>
  <si>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</si>
  <si>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</si>
  <si>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</si>
  <si>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</si>
  <si>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</si>
  <si>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</si>
  <si>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</si>
  <si>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</si>
  <si>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</si>
  <si>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</si>
  <si>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</si>
  <si>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</si>
  <si>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</si>
  <si>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</si>
  <si>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</si>
  <si>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</si>
  <si>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</si>
  <si>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</si>
  <si>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</si>
  <si>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</si>
  <si>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</si>
  <si>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</si>
  <si>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</si>
  <si>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</si>
  <si>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</si>
  <si>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</si>
  <si>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</si>
  <si>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</si>
  <si>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</si>
  <si>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</si>
  <si>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</si>
  <si>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</si>
  <si>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</si>
  <si>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</si>
  <si>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</si>
  <si>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</si>
  <si>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</si>
  <si>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</si>
  <si>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</si>
  <si>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</si>
  <si>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</si>
  <si>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</si>
  <si>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</si>
  <si>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</si>
  <si>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</si>
  <si>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</si>
  <si>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</si>
  <si>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</si>
  <si>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</si>
  <si>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</si>
  <si>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</si>
  <si>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</si>
  <si>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</si>
  <si>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</si>
  <si>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</si>
  <si>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</si>
  <si>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</si>
  <si>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</si>
  <si>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</si>
  <si>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</si>
  <si>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</si>
  <si>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</si>
  <si>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</si>
  <si>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</si>
  <si>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</si>
  <si>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</si>
  <si>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</si>
  <si>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</si>
  <si>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</si>
  <si>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</si>
  <si>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</si>
  <si>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</si>
  <si>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</si>
  <si>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</si>
  <si>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</si>
  <si>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</si>
  <si>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</si>
  <si>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</si>
  <si>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</si>
  <si>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</si>
  <si>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</si>
  <si>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</si>
  <si>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</si>
  <si>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</si>
  <si>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</si>
  <si>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</si>
  <si>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</si>
  <si>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</si>
  <si>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</si>
  <si>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</si>
  <si>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</si>
  <si>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</si>
  <si>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</si>
  <si>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</si>
  <si>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</si>
  <si>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</si>
  <si>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</si>
  <si>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</si>
  <si>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</si>
  <si>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</si>
  <si>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</si>
  <si>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</si>
  <si>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</si>
  <si>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</si>
  <si>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</si>
  <si>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</si>
  <si>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</si>
  <si>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</si>
  <si>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</si>
  <si>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</si>
  <si>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</si>
  <si>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</si>
  <si>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</si>
  <si>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</si>
  <si>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</si>
  <si>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</si>
  <si>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</si>
  <si>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</si>
  <si>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</si>
  <si>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</si>
  <si>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</si>
  <si>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</si>
  <si>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</si>
  <si>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</si>
  <si>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</si>
  <si>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</si>
  <si>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</si>
  <si>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</si>
  <si>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</si>
  <si>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</si>
  <si>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</si>
  <si>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</si>
  <si>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</si>
  <si>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</si>
  <si>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</si>
  <si>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</si>
  <si>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</si>
  <si>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</si>
  <si>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</si>
  <si>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</si>
  <si>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</si>
  <si>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</si>
  <si>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</si>
  <si>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</si>
  <si>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</si>
  <si>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</si>
  <si>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</si>
  <si>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</si>
  <si>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</si>
  <si>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</si>
  <si>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</si>
  <si>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</si>
  <si>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</si>
  <si>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</si>
  <si>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</si>
  <si>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</si>
  <si>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</si>
  <si>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</si>
  <si>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</si>
  <si>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</si>
  <si>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</si>
  <si>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</si>
  <si>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</si>
  <si>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</si>
  <si>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</si>
  <si>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</si>
  <si>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</si>
  <si>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</si>
  <si>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</si>
  <si>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</si>
  <si>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</si>
  <si>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</si>
  <si>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</si>
  <si>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</si>
  <si>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</si>
  <si>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</si>
  <si>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</si>
  <si>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</si>
  <si>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</si>
  <si>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</si>
  <si>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</si>
  <si>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</si>
  <si>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</si>
  <si>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</si>
  <si>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</si>
  <si>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</si>
  <si>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</si>
  <si>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</si>
  <si>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</si>
  <si>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</si>
  <si>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</si>
  <si>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</si>
  <si>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</si>
  <si>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</si>
  <si>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</si>
  <si>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</si>
  <si>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</si>
  <si>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</si>
  <si>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</si>
  <si>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</si>
  <si>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</si>
  <si>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</si>
  <si>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</si>
  <si>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</si>
  <si>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</si>
  <si>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</si>
  <si>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</si>
  <si>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</si>
  <si>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</si>
  <si>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</si>
  <si>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</si>
  <si>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</si>
  <si>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</si>
  <si>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</si>
  <si>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</si>
  <si>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</si>
  <si>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</si>
  <si>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</si>
  <si>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</si>
  <si>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</si>
  <si>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</si>
  <si>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</si>
  <si>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</si>
  <si>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</si>
  <si>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</si>
  <si>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</si>
  <si>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</si>
  <si>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</si>
  <si>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</si>
  <si>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</si>
  <si>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</si>
  <si>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</si>
  <si>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</si>
  <si>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</si>
  <si>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</si>
  <si>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</si>
  <si>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</si>
  <si>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</si>
  <si>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</si>
  <si>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</si>
  <si>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</si>
  <si>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</si>
  <si>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</si>
  <si>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</si>
  <si>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</si>
  <si>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</si>
  <si>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</si>
  <si>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</si>
  <si>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</si>
  <si>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</si>
  <si>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</si>
  <si>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</si>
  <si>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</si>
  <si>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</si>
  <si>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</si>
  <si>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</si>
  <si>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</si>
  <si>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</si>
  <si>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</si>
  <si>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</si>
  <si>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</si>
  <si>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</si>
  <si>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</si>
  <si>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</si>
  <si>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</si>
  <si>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</si>
  <si>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</si>
  <si>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</si>
  <si>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</si>
  <si>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</si>
  <si>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</si>
  <si>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</si>
  <si>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</si>
  <si>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</si>
  <si>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</si>
  <si>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</si>
  <si>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</si>
  <si>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</si>
  <si>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</si>
  <si>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</si>
  <si>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</si>
  <si>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</si>
  <si>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</si>
  <si>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</si>
  <si>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</si>
  <si>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</si>
  <si>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</si>
  <si>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</si>
  <si>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</si>
  <si>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</si>
  <si>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</si>
  <si>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</si>
  <si>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</si>
  <si>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</si>
  <si>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</si>
  <si>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</si>
  <si>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</si>
  <si>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</si>
  <si>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</si>
  <si>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</si>
  <si>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</si>
  <si>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</si>
  <si>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</si>
  <si>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</si>
  <si>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</si>
  <si>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</si>
  <si>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</si>
  <si>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</si>
  <si>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</si>
  <si>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</si>
  <si>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</si>
  <si>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</si>
  <si>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</si>
  <si>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</si>
  <si>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</si>
  <si>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</si>
  <si>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</si>
  <si>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</si>
  <si>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</si>
  <si>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</si>
  <si>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</si>
  <si>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</si>
  <si>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</si>
  <si>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</si>
  <si>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</si>
  <si>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</si>
  <si>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</si>
  <si>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</si>
  <si>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</si>
  <si>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</si>
  <si>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</si>
  <si>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</si>
  <si>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</si>
  <si>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</si>
  <si>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</si>
  <si>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</si>
  <si>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</si>
  <si>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</si>
  <si>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</si>
  <si>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</si>
  <si>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</si>
  <si>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</si>
  <si>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</si>
  <si>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</si>
  <si>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</si>
  <si>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</si>
  <si>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</si>
  <si>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</si>
  <si>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</si>
  <si>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</si>
  <si>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</si>
  <si>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</si>
  <si>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</si>
  <si>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</si>
  <si>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</si>
  <si>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</si>
  <si>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</si>
  <si>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</si>
  <si>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</si>
  <si>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</si>
  <si>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</si>
  <si>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</si>
  <si>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</si>
  <si>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</si>
  <si>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</si>
  <si>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</si>
  <si>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</si>
  <si>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</si>
  <si>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</si>
  <si>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</si>
  <si>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</si>
  <si>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</si>
  <si>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</si>
  <si>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</si>
  <si>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</si>
  <si>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</si>
  <si>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</si>
  <si>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</si>
  <si>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</si>
  <si>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</si>
  <si>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</si>
  <si>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</si>
  <si>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</si>
  <si>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</si>
  <si>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</si>
  <si>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</si>
  <si>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</si>
  <si>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</si>
  <si>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</si>
  <si>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</si>
  <si>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</si>
  <si>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</si>
  <si>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</si>
  <si>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</si>
  <si>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</si>
  <si>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</si>
  <si>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</si>
  <si>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</si>
  <si>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</si>
  <si>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</si>
  <si>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</si>
  <si>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</si>
  <si>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</si>
  <si>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</si>
  <si>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</si>
  <si>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</si>
  <si>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</si>
  <si>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</si>
  <si>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</si>
  <si>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</si>
  <si>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</si>
  <si>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</si>
  <si>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</si>
  <si>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</si>
  <si>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</si>
  <si>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</si>
  <si>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</si>
  <si>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</si>
  <si>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</si>
  <si>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</si>
  <si>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</si>
  <si>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</si>
  <si>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</si>
  <si>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</si>
  <si>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</si>
  <si>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</si>
  <si>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</si>
  <si>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</si>
  <si>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</si>
  <si>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</si>
  <si>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</si>
  <si>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</si>
  <si>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</si>
  <si>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</si>
  <si>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</si>
  <si>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</si>
  <si>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</si>
  <si>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</si>
  <si>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</si>
  <si>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</si>
  <si>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</si>
  <si>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</si>
  <si>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</si>
  <si>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</si>
  <si>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</si>
  <si>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</si>
  <si>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</si>
  <si>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</si>
  <si>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</si>
  <si>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</si>
  <si>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</si>
  <si>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</si>
  <si>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</si>
  <si>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</si>
  <si>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</si>
  <si>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</si>
  <si>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</si>
  <si>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</si>
  <si>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</si>
  <si>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</si>
  <si>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</si>
  <si>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</si>
  <si>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</si>
  <si>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</si>
  <si>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</si>
  <si>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</si>
  <si>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</si>
  <si>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</si>
  <si>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</si>
  <si>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</si>
  <si>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</si>
  <si>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</si>
  <si>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</si>
  <si>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</si>
  <si>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</si>
  <si>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</si>
  <si>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</si>
  <si>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</si>
  <si>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</si>
  <si>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</si>
  <si>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</si>
  <si>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</si>
  <si>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</si>
  <si>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</si>
  <si>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</si>
  <si>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</si>
  <si>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</si>
  <si>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</si>
  <si>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</si>
  <si>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</si>
  <si>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</si>
  <si>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</si>
  <si>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</si>
  <si>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</si>
  <si>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</si>
  <si>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</si>
  <si>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</si>
  <si>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</si>
  <si>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</si>
  <si>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</si>
  <si>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</si>
  <si>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</si>
  <si>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</si>
  <si>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</si>
  <si>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</si>
  <si>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</si>
  <si>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</si>
  <si>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</si>
  <si>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</si>
  <si>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</si>
  <si>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</si>
  <si>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</si>
  <si>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</si>
  <si>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</si>
  <si>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</si>
  <si>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</si>
  <si>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</si>
  <si>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</si>
  <si>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</si>
  <si>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</si>
  <si>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</si>
  <si>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</si>
  <si>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</si>
  <si>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</si>
  <si>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</si>
  <si>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</si>
  <si>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</si>
  <si>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</si>
  <si>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</si>
  <si>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</si>
  <si>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</si>
  <si>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</si>
  <si>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</si>
  <si>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</si>
  <si>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</si>
  <si>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</si>
  <si>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</si>
  <si>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</si>
  <si>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</si>
  <si>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</si>
  <si>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</si>
  <si>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</si>
  <si>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</si>
  <si>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</si>
  <si>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</si>
  <si>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</si>
  <si>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</si>
  <si>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</si>
  <si>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</si>
  <si>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</si>
  <si>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</si>
  <si>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</si>
  <si>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</si>
  <si>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</si>
  <si>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</si>
  <si>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</si>
  <si>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</si>
  <si>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</si>
  <si>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</si>
  <si>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</si>
  <si>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</si>
  <si>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</si>
  <si>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</si>
  <si>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</si>
  <si>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</si>
  <si>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</si>
  <si>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</si>
  <si>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</si>
  <si>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</si>
  <si>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</si>
  <si>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</si>
  <si>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</si>
  <si>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</si>
  <si>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</si>
  <si>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</si>
  <si>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</si>
  <si>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</si>
  <si>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</si>
  <si>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</si>
  <si>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</si>
  <si>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</si>
  <si>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</si>
  <si>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</si>
  <si>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</si>
  <si>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</si>
  <si>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</si>
  <si>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</si>
  <si>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</si>
  <si>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</si>
  <si>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</si>
  <si>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</si>
  <si>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</si>
  <si>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</si>
  <si>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</si>
  <si>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</si>
  <si>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</si>
  <si>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</si>
  <si>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</si>
  <si>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</si>
  <si>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</si>
  <si>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</si>
  <si>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</si>
  <si>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</si>
  <si>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</si>
  <si>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</si>
  <si>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</si>
  <si>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</si>
  <si>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</si>
  <si>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</si>
  <si>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</si>
  <si>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</si>
  <si>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</si>
  <si>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</si>
  <si>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</si>
  <si>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</si>
  <si>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</si>
  <si>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</si>
  <si>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</si>
  <si>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</si>
  <si>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</si>
  <si>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</si>
  <si>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</si>
  <si>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</si>
  <si>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</si>
  <si>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</si>
  <si>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</si>
  <si>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</si>
  <si>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</si>
  <si>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</si>
  <si>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</si>
  <si>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</si>
  <si>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</si>
  <si>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</si>
  <si>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</si>
  <si>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</si>
  <si>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</si>
  <si>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</si>
  <si>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</si>
  <si>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</si>
  <si>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</si>
  <si>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</si>
  <si>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</si>
  <si>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</si>
  <si>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</si>
  <si>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</si>
  <si>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</si>
  <si>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</si>
  <si>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</si>
  <si>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</si>
  <si>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</si>
  <si>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</si>
  <si>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</si>
  <si>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</si>
  <si>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</si>
  <si>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</si>
  <si>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</si>
  <si>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</si>
  <si>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</si>
  <si>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</si>
  <si>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</si>
  <si>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</si>
  <si>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</si>
  <si>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</si>
  <si>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</si>
  <si>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</si>
  <si>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</si>
  <si>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</si>
  <si>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</si>
  <si>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</si>
  <si>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</si>
  <si>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</si>
  <si>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</si>
  <si>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</si>
  <si>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</si>
  <si>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</si>
  <si>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</si>
  <si>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</si>
  <si>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</si>
  <si>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</si>
  <si>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</si>
  <si>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</si>
  <si>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</si>
  <si>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</si>
  <si>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</si>
  <si>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</si>
  <si>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</si>
  <si>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</si>
  <si>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</si>
  <si>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</si>
  <si>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</si>
  <si>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</si>
  <si>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</si>
  <si>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</si>
  <si>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</si>
  <si>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</si>
  <si>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</si>
  <si>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</si>
  <si>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</si>
  <si>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</si>
  <si>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</si>
  <si>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</si>
  <si>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</si>
  <si>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</si>
  <si>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</si>
  <si>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</si>
  <si>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</si>
  <si>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</si>
  <si>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</si>
  <si>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</si>
  <si>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</si>
  <si>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</si>
  <si>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</si>
  <si>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</si>
  <si>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</si>
  <si>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</si>
  <si>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</si>
  <si>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</si>
  <si>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</si>
  <si>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</si>
  <si>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</si>
  <si>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</si>
  <si>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</si>
  <si>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</si>
  <si>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</si>
  <si>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</si>
  <si>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</si>
  <si>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</si>
  <si>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</si>
  <si>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</si>
  <si>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</si>
  <si>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</si>
  <si>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</si>
  <si>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</si>
  <si>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</si>
  <si>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</si>
  <si>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</si>
  <si>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</si>
  <si>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</si>
  <si>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</si>
  <si>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</si>
  <si>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</si>
  <si>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</si>
  <si>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</si>
  <si>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</si>
  <si>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</si>
  <si>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</si>
  <si>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</si>
  <si>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</si>
  <si>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</si>
  <si>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</si>
  <si>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</si>
  <si>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</si>
  <si>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</si>
  <si>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</si>
  <si>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</si>
  <si>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</si>
  <si>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</si>
  <si>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</si>
  <si>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</si>
  <si>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</si>
  <si>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</si>
  <si>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</si>
  <si>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</si>
  <si>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</si>
  <si>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</si>
  <si>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</si>
  <si>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</si>
  <si>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</si>
  <si>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</si>
  <si>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</si>
  <si>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</si>
  <si>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</si>
  <si>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</si>
  <si>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</si>
  <si>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</si>
  <si>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</si>
  <si>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</si>
  <si>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</si>
  <si>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</si>
  <si>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</si>
  <si>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</si>
  <si>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</si>
  <si>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</si>
  <si>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</si>
  <si>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</si>
  <si>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</si>
  <si>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</si>
  <si>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</si>
  <si>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</si>
  <si>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</si>
  <si>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</si>
  <si>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</si>
  <si>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</si>
  <si>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</si>
  <si>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</si>
  <si>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</si>
  <si>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</si>
  <si>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</si>
  <si>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</si>
  <si>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</si>
  <si>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</si>
  <si>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</si>
  <si>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</si>
  <si>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</si>
  <si>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</si>
  <si>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</si>
  <si>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</si>
  <si>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</si>
  <si>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</si>
  <si>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</si>
  <si>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</si>
  <si>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</si>
  <si>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</si>
  <si>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</si>
  <si>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</si>
  <si>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</si>
  <si>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</si>
  <si>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</si>
  <si>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</si>
  <si>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</si>
  <si>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</si>
  <si>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</si>
  <si>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</si>
  <si>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</si>
  <si>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</si>
  <si>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</si>
  <si>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Vlalues for Display</t>
  </si>
  <si>
    <t>Qty</t>
  </si>
  <si>
    <t>Avg.Rating</t>
  </si>
  <si>
    <t>Avg.Days</t>
  </si>
  <si>
    <t>Unknown</t>
  </si>
  <si>
    <t>Male</t>
  </si>
  <si>
    <t>Female</t>
  </si>
  <si>
    <t>Other</t>
  </si>
  <si>
    <t>Row Labels</t>
  </si>
  <si>
    <t>Grand Total</t>
  </si>
  <si>
    <t>Column Labels</t>
  </si>
  <si>
    <t>For matrix</t>
  </si>
  <si>
    <t>Fe</t>
  </si>
  <si>
    <t>Ma</t>
  </si>
  <si>
    <t>Oth</t>
  </si>
  <si>
    <t>Unk</t>
  </si>
  <si>
    <t>6 To 10</t>
  </si>
  <si>
    <t>More than 10</t>
  </si>
  <si>
    <t>Map Chart Stuff(Qty)</t>
  </si>
  <si>
    <t>Map Chart for Amount</t>
  </si>
  <si>
    <t>Months (Order Date)</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</si>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</sst>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5C]#,##0"/>
    <numFmt numFmtId="165"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theme="1"/>
      <name val="Aptos Display"/>
      <family val="2"/>
      <scheme val="maj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ck">
        <color theme="0"/>
      </top>
      <bottom style="thick">
        <color theme="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0" fontId="4" fillId="0" borderId="2" xfId="0" applyFont="1" applyBorder="1"/>
    <xf numFmtId="0" fontId="4" fillId="0" borderId="2" xfId="0" applyFont="1" applyBorder="1" applyAlignment="1">
      <alignment horizontal="left"/>
    </xf>
    <xf numFmtId="165" fontId="0" fillId="0" borderId="2" xfId="0" applyNumberForma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cellXfs>
  <cellStyles count="2">
    <cellStyle name="Hyperlink" xfId="1" builtinId="8"/>
    <cellStyle name="Normal" xfId="0" builtinId="0"/>
  </cellStyles>
  <dxfs count="13">
    <dxf>
      <numFmt numFmtId="0" formatCode="General"/>
    </dxf>
    <dxf>
      <numFmt numFmtId="0" formatCode="General"/>
    </dxf>
    <dxf>
      <numFmt numFmtId="0" formatCode="General"/>
    </dxf>
    <dxf>
      <numFmt numFmtId="167" formatCode="d\-mmm\-yy"/>
    </dxf>
    <dxf>
      <numFmt numFmtId="167" formatCode="d\-mmm\-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4" formatCode="[$$-45C]#,##0"/>
    </dxf>
    <dxf>
      <numFmt numFmtId="166" formatCode="&quot;₹&quot;\ #,##0"/>
    </dxf>
  </dxfs>
  <tableStyles count="0" defaultTableStyle="TableStyleMedium2" defaultPivotStyle="PivotStyleLight16"/>
  <colors>
    <mruColors>
      <color rgb="FF009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[ecommerce-blank.xlsx]Pivots!PvtAmt</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Last</a:t>
            </a:r>
            <a:r>
              <a:rPr lang="en-IN" sz="1400" b="1" baseline="0"/>
              <a:t> 13 week Trends-Qty &amp; Amount</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Pivots!$B$12</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Pivots!$B$13:$B$26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7AFD-450B-A6C9-E7C09F6C0DAC}"/>
            </c:ext>
          </c:extLst>
        </c:ser>
        <c:dLbls>
          <c:showLegendKey val="0"/>
          <c:showVal val="0"/>
          <c:showCatName val="0"/>
          <c:showSerName val="0"/>
          <c:showPercent val="0"/>
          <c:showBubbleSize val="0"/>
        </c:dLbls>
        <c:marker val="1"/>
        <c:smooth val="0"/>
        <c:axId val="1194259472"/>
        <c:axId val="1039212000"/>
      </c:lineChart>
      <c:lineChart>
        <c:grouping val="standard"/>
        <c:varyColors val="0"/>
        <c:ser>
          <c:idx val="1"/>
          <c:order val="1"/>
          <c:tx>
            <c:strRef>
              <c:f>Pivots!$C$12</c:f>
              <c:strCache>
                <c:ptCount val="1"/>
                <c:pt idx="0">
                  <c:v>Sum of Amount</c:v>
                </c:pt>
              </c:strCache>
            </c:strRef>
          </c:tx>
          <c:spPr>
            <a:ln w="28575" cap="rnd">
              <a:solidFill>
                <a:schemeClr val="accent5"/>
              </a:solidFill>
              <a:round/>
            </a:ln>
            <a:effectLst/>
          </c:spPr>
          <c:marker>
            <c:symbol val="none"/>
          </c:marker>
          <c:cat>
            <c:strRef>
              <c:f>Pivots!$A$13:$A$26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Pivots!$C$13:$C$26</c:f>
              <c:numCache>
                <c:formatCode>[$$-45C]#,##0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7AFD-450B-A6C9-E7C09F6C0DAC}"/>
            </c:ext>
          </c:extLst>
        </c:ser>
        <c:dLbls>
          <c:showLegendKey val="0"/>
          <c:showVal val="0"/>
          <c:showCatName val="0"/>
          <c:showSerName val="0"/>
          <c:showPercent val="0"/>
          <c:showBubbleSize val="0"/>
        </c:dLbls>
        <c:marker val="1"/>
        <c:smooth val="0"/>
        <c:axId val="1243821504"/>
        <c:axId val="956749792"/>
      </c:lineChart>
      <c:catAx>
        <c:axId val="119425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212000"/>
        <c:crosses val="autoZero"/>
        <c:auto val="1"/>
        <c:lblAlgn val="ctr"/>
        <c:lblOffset val="100"/>
        <c:noMultiLvlLbl val="0"/>
      </c:catAx>
      <c:valAx>
        <c:axId val="103921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59472"/>
        <c:crosses val="autoZero"/>
        <c:crossBetween val="between"/>
      </c:valAx>
      <c:valAx>
        <c:axId val="956749792"/>
        <c:scaling>
          <c:orientation val="minMax"/>
        </c:scaling>
        <c:delete val="0"/>
        <c:axPos val="r"/>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821504"/>
        <c:crosses val="max"/>
        <c:crossBetween val="between"/>
      </c:valAx>
      <c:catAx>
        <c:axId val="1243821504"/>
        <c:scaling>
          <c:orientation val="minMax"/>
        </c:scaling>
        <c:delete val="1"/>
        <c:axPos val="b"/>
        <c:numFmt formatCode="General" sourceLinked="1"/>
        <c:majorTickMark val="out"/>
        <c:minorTickMark val="none"/>
        <c:tickLblPos val="nextTo"/>
        <c:crossAx val="9567497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[ecommerce-blank.xlsx]Pivots!PvtQty</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How</a:t>
            </a:r>
            <a:r>
              <a:rPr lang="en-IN" b="1" baseline="0"/>
              <a:t> many they buy?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c:f>
              <c:strCache>
                <c:ptCount val="1"/>
                <c:pt idx="0">
                  <c:v>Total</c:v>
                </c:pt>
              </c:strCache>
            </c:strRef>
          </c:tx>
          <c:spPr>
            <a:solidFill>
              <a:schemeClr val="accent5"/>
            </a:solidFill>
            <a:ln>
              <a:noFill/>
            </a:ln>
            <a:effectLst/>
          </c:spPr>
          <c:invertIfNegative val="0"/>
          <c:cat>
            <c:strRef>
              <c:f>Pivots!$A$31:$A$38</c:f>
              <c:strCache>
                <c:ptCount val="7"/>
                <c:pt idx="0">
                  <c:v>1</c:v>
                </c:pt>
                <c:pt idx="1">
                  <c:v>2</c:v>
                </c:pt>
                <c:pt idx="2">
                  <c:v>3</c:v>
                </c:pt>
                <c:pt idx="3">
                  <c:v>4</c:v>
                </c:pt>
                <c:pt idx="4">
                  <c:v>5</c:v>
                </c:pt>
                <c:pt idx="5">
                  <c:v>6 To 10</c:v>
                </c:pt>
                <c:pt idx="6">
                  <c:v>More than 10</c:v>
                </c:pt>
              </c:strCache>
            </c:strRef>
          </c:cat>
          <c:val>
            <c:numRef>
              <c:f>Pivots!$B$31:$B$38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26E-4F15-B7E4-A8583B969B3C}"/>
            </c:ext>
          </c:extLst>
        </c:ser>
        <c:dLbls>
          <c:showLegendKey val="0"/>
          <c:showVal val="0"/>
          <c:showCatName val="0"/>
          <c:showSerName val="0"/>
          <c:showPercent val="0"/>
          <c:showBubbleSize val="0"/>
        </c:dLbls>
        <c:gapWidth val="5"/>
        <c:overlap val="-27"/>
        <c:axId val="1194237664"/>
        <c:axId val="932087264"/>
      </c:barChart>
      <c:catAx>
        <c:axId val="119423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87264"/>
        <c:crosses val="autoZero"/>
        <c:auto val="1"/>
        <c:lblAlgn val="ctr"/>
        <c:lblOffset val="100"/>
        <c:noMultiLvlLbl val="0"/>
      </c:catAx>
      <c:valAx>
        <c:axId val="93208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3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[ecommerce-blank.xlsx]Pivots!PvtProduct</c:name>
    <c:fmtId val="37"/>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IN" sz="1400" b="1"/>
              <a:t>Which Products are Popular?</a:t>
            </a:r>
            <a:r>
              <a:rPr lang="en-IN" sz="1400" b="1" baseline="0"/>
              <a:t> </a:t>
            </a:r>
            <a:endParaRPr lang="en-IN" sz="1400"/>
          </a:p>
        </c:rich>
      </c:tx>
      <c:layout>
        <c:manualLayout>
          <c:xMode val="edge"/>
          <c:yMode val="edge"/>
          <c:x val="3.3155276079940406E-2"/>
          <c:y val="2.6821774587741345E-2"/>
        </c:manualLayout>
      </c:layout>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Pivots!$B$43:$B$44</c:f>
              <c:strCache>
                <c:ptCount val="1"/>
                <c:pt idx="0">
                  <c:v>Female</c:v>
                </c:pt>
              </c:strCache>
            </c:strRef>
          </c:tx>
          <c:spPr>
            <a:solidFill>
              <a:schemeClr val="accent6"/>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Pivots!$B$45:$B$65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98B1-415C-B2D8-DCF5CEE3C1DC}"/>
            </c:ext>
          </c:extLst>
        </c:ser>
        <c:ser>
          <c:idx val="1"/>
          <c:order val="1"/>
          <c:tx>
            <c:strRef>
              <c:f>Pivots!$C$43:$C$44</c:f>
              <c:strCache>
                <c:ptCount val="1"/>
                <c:pt idx="0">
                  <c:v>Male</c:v>
                </c:pt>
              </c:strCache>
            </c:strRef>
          </c:tx>
          <c:spPr>
            <a:solidFill>
              <a:schemeClr val="accent5"/>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Pivots!$C$45:$C$65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98B1-415C-B2D8-DCF5CEE3C1DC}"/>
            </c:ext>
          </c:extLst>
        </c:ser>
        <c:ser>
          <c:idx val="2"/>
          <c:order val="2"/>
          <c:tx>
            <c:strRef>
              <c:f>Pivots!$D$43:$D$44</c:f>
              <c:strCache>
                <c:ptCount val="1"/>
                <c:pt idx="0">
                  <c:v>Other</c:v>
                </c:pt>
              </c:strCache>
            </c:strRef>
          </c:tx>
          <c:spPr>
            <a:solidFill>
              <a:schemeClr val="accent4"/>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Pivots!$D$45:$D$65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98B1-415C-B2D8-DCF5CEE3C1DC}"/>
            </c:ext>
          </c:extLst>
        </c:ser>
        <c:ser>
          <c:idx val="3"/>
          <c:order val="3"/>
          <c:tx>
            <c:strRef>
              <c:f>Pivots!$E$43:$E$44</c:f>
              <c:strCache>
                <c:ptCount val="1"/>
                <c:pt idx="0">
                  <c:v>Unknown</c:v>
                </c:pt>
              </c:strCache>
            </c:strRef>
          </c:tx>
          <c:spPr>
            <a:solidFill>
              <a:schemeClr val="accent6">
                <a:lumMod val="60000"/>
              </a:schemeClr>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Pivots!$E$45:$E$65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98B1-415C-B2D8-DCF5CEE3C1DC}"/>
            </c:ext>
          </c:extLst>
        </c:ser>
        <c:dLbls>
          <c:showLegendKey val="0"/>
          <c:showVal val="0"/>
          <c:showCatName val="0"/>
          <c:showSerName val="0"/>
          <c:showPercent val="0"/>
          <c:showBubbleSize val="0"/>
        </c:dLbls>
        <c:gapWidth val="10"/>
        <c:overlap val="100"/>
        <c:axId val="1166990208"/>
        <c:axId val="1039182240"/>
      </c:barChart>
      <c:catAx>
        <c:axId val="116699020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182240"/>
        <c:crosses val="autoZero"/>
        <c:auto val="1"/>
        <c:lblAlgn val="ctr"/>
        <c:lblOffset val="100"/>
        <c:noMultiLvlLbl val="0"/>
      </c:catAx>
      <c:valAx>
        <c:axId val="103918224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9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[ecommerce-blank.xlsx]Pivots!PvtGender</c:name>
    <c:fmtId val="4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4603514210145033"/>
              <c:y val="0.29576783114558114"/>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375465990233756"/>
                  <c:h val="0.23475629782411117"/>
                </c:manualLayout>
              </c15:layout>
            </c:ext>
          </c:extLst>
        </c:dLbl>
      </c:pivotFmt>
      <c:pivotFmt>
        <c:idx val="8"/>
        <c:spPr>
          <a:solidFill>
            <a:schemeClr val="accent6"/>
          </a:solidFill>
          <a:ln w="19050">
            <a:solidFill>
              <a:schemeClr val="lt1"/>
            </a:solidFill>
          </a:ln>
          <a:effectLst/>
        </c:spPr>
        <c:dLbl>
          <c:idx val="0"/>
          <c:layout>
            <c:manualLayout>
              <c:x val="-0.16810575120393345"/>
              <c:y val="0.2502648352527668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755365054763629"/>
                  <c:h val="0.22728597310683102"/>
                </c:manualLayout>
              </c15:layout>
            </c:ext>
          </c:extLst>
        </c:dLbl>
      </c:pivotFmt>
      <c:pivotFmt>
        <c:idx val="9"/>
        <c:spPr>
          <a:solidFill>
            <a:schemeClr val="accent6"/>
          </a:solidFill>
          <a:ln w="19050">
            <a:solidFill>
              <a:schemeClr val="lt1"/>
            </a:solidFill>
          </a:ln>
          <a:effectLst/>
        </c:spPr>
        <c:dLbl>
          <c:idx val="0"/>
          <c:layout>
            <c:manualLayout>
              <c:x val="-0.24519930784355723"/>
              <c:y val="-0.2047624365082113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3645156709898366"/>
                  <c:h val="0.21970219022038354"/>
                </c:manualLayout>
              </c15:layout>
            </c:ext>
          </c:extLst>
        </c:dLbl>
      </c:pivotFmt>
      <c:pivotFmt>
        <c:idx val="10"/>
        <c:spPr>
          <a:solidFill>
            <a:schemeClr val="accent6"/>
          </a:solidFill>
          <a:ln w="19050">
            <a:solidFill>
              <a:schemeClr val="lt1"/>
            </a:solidFill>
          </a:ln>
          <a:effectLst/>
        </c:spPr>
        <c:dLbl>
          <c:idx val="0"/>
          <c:layout>
            <c:manualLayout>
              <c:x val="0.32900354501543877"/>
              <c:y val="-0.18201078927473954"/>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654513817858888"/>
                  <c:h val="0.21200494916476872"/>
                </c:manualLayout>
              </c15:layout>
            </c:ext>
          </c:extLst>
        </c:dLbl>
      </c:pivotFmt>
    </c:pivotFmts>
    <c:plotArea>
      <c:layout>
        <c:manualLayout>
          <c:layoutTarget val="inner"/>
          <c:xMode val="edge"/>
          <c:yMode val="edge"/>
          <c:x val="0.24731115512631374"/>
          <c:y val="0.27897273779339382"/>
          <c:w val="0.52395292084724188"/>
          <c:h val="0.52001879822718622"/>
        </c:manualLayout>
      </c:layout>
      <c:doughnutChart>
        <c:varyColors val="1"/>
        <c:ser>
          <c:idx val="0"/>
          <c:order val="0"/>
          <c:tx>
            <c:strRef>
              <c:f>Pivots!$K$43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CD2-4091-87C1-9A433932D4D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CD2-4091-87C1-9A433932D4D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CD2-4091-87C1-9A433932D4D0}"/>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9CD2-4091-87C1-9A433932D4D0}"/>
              </c:ext>
            </c:extLst>
          </c:dPt>
          <c:dLbls>
            <c:dLbl>
              <c:idx val="0"/>
              <c:layout>
                <c:manualLayout>
                  <c:x val="0.14603514210145033"/>
                  <c:y val="0.29576783114558114"/>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375465990233756"/>
                      <c:h val="0.23475629782411117"/>
                    </c:manualLayout>
                  </c15:layout>
                </c:ext>
                <c:ext xmlns:c16="http://schemas.microsoft.com/office/drawing/2014/chart" uri="{C3380CC4-5D6E-409C-BE32-E72D297353CC}">
                  <c16:uniqueId val="{00000001-9CD2-4091-87C1-9A433932D4D0}"/>
                </c:ext>
              </c:extLst>
            </c:dLbl>
            <c:dLbl>
              <c:idx val="1"/>
              <c:layout>
                <c:manualLayout>
                  <c:x val="-0.16810575120393345"/>
                  <c:y val="0.2502648352527668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2755365054763629"/>
                      <c:h val="0.22728597310683102"/>
                    </c:manualLayout>
                  </c15:layout>
                </c:ext>
                <c:ext xmlns:c16="http://schemas.microsoft.com/office/drawing/2014/chart" uri="{C3380CC4-5D6E-409C-BE32-E72D297353CC}">
                  <c16:uniqueId val="{00000003-9CD2-4091-87C1-9A433932D4D0}"/>
                </c:ext>
              </c:extLst>
            </c:dLbl>
            <c:dLbl>
              <c:idx val="2"/>
              <c:layout>
                <c:manualLayout>
                  <c:x val="-0.24519930784355723"/>
                  <c:y val="-0.20476243650821135"/>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3645156709898366"/>
                      <c:h val="0.21970219022038354"/>
                    </c:manualLayout>
                  </c15:layout>
                </c:ext>
                <c:ext xmlns:c16="http://schemas.microsoft.com/office/drawing/2014/chart" uri="{C3380CC4-5D6E-409C-BE32-E72D297353CC}">
                  <c16:uniqueId val="{00000005-9CD2-4091-87C1-9A433932D4D0}"/>
                </c:ext>
              </c:extLst>
            </c:dLbl>
            <c:dLbl>
              <c:idx val="3"/>
              <c:layout>
                <c:manualLayout>
                  <c:x val="0.32900354501543877"/>
                  <c:y val="-0.18201078927473954"/>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654513817858888"/>
                      <c:h val="0.21200494916476872"/>
                    </c:manualLayout>
                  </c15:layout>
                </c:ext>
                <c:ext xmlns:c16="http://schemas.microsoft.com/office/drawing/2014/chart" uri="{C3380CC4-5D6E-409C-BE32-E72D297353CC}">
                  <c16:uniqueId val="{00000007-9CD2-4091-87C1-9A433932D4D0}"/>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Pivots!$J$44:$J$48</c:f>
              <c:strCache>
                <c:ptCount val="4"/>
                <c:pt idx="0">
                  <c:v>Female</c:v>
                </c:pt>
                <c:pt idx="1">
                  <c:v>Male</c:v>
                </c:pt>
                <c:pt idx="2">
                  <c:v>Other</c:v>
                </c:pt>
                <c:pt idx="3">
                  <c:v>Unknown</c:v>
                </c:pt>
              </c:strCache>
            </c:strRef>
          </c:cat>
          <c:val>
            <c:numRef>
              <c:f>Pivots!$K$44:$K$48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CD2-4091-87C1-9A433932D4D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[ecommerce-blank.xlsx]Pivots!PvtDeliver</c:name>
    <c:fmtId val="4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Pivots!$C$135</c:f>
              <c:strCache>
                <c:ptCount val="1"/>
                <c:pt idx="0">
                  <c:v>Total</c:v>
                </c:pt>
              </c:strCache>
            </c:strRef>
          </c:tx>
          <c:spPr>
            <a:solidFill>
              <a:schemeClr val="accent2"/>
            </a:solidFill>
            <a:ln>
              <a:noFill/>
            </a:ln>
            <a:effectLst/>
          </c:spPr>
          <c:invertIfNegative val="0"/>
          <c:cat>
            <c:strRef>
              <c:f>Pivots!$B$136:$B$151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Pivots!$C$136:$C$151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1BC-4EE5-B0B1-5CC5CC4EA909}"/>
            </c:ext>
          </c:extLst>
        </c:ser>
        <c:dLbls>
          <c:showLegendKey val="0"/>
          <c:showVal val="0"/>
          <c:showCatName val="0"/>
          <c:showSerName val="0"/>
          <c:showPercent val="0"/>
          <c:showBubbleSize val="0"/>
        </c:dLbls>
        <c:gapWidth val="10"/>
        <c:overlap val="-27"/>
        <c:axId val="1292850928"/>
        <c:axId val="1246282400"/>
      </c:barChart>
      <c:catAx>
        <c:axId val="129285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282400"/>
        <c:crosses val="autoZero"/>
        <c:auto val="1"/>
        <c:lblAlgn val="ctr"/>
        <c:lblOffset val="100"/>
        <c:noMultiLvlLbl val="0"/>
      </c:catAx>
      <c:valAx>
        <c:axId val="124628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5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c:name>
    <c:fmtId val="5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How happy are our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Pivots!$C$155:$C$156</c:f>
              <c:strCache>
                <c:ptCount val="1"/>
                <c:pt idx="0">
                  <c:v>1</c:v>
                </c:pt>
              </c:strCache>
            </c:strRef>
          </c:tx>
          <c:spPr>
            <a:solidFill>
              <a:schemeClr val="accent6"/>
            </a:solidFill>
            <a:ln>
              <a:noFill/>
            </a:ln>
            <a:effectLst/>
          </c:spPr>
          <c:invertIfNegative val="0"/>
          <c:cat>
            <c:strRef>
              <c:f>Pivots!$B$157:$B$160</c:f>
              <c:strCache>
                <c:ptCount val="3"/>
                <c:pt idx="0">
                  <c:v>Jan</c:v>
                </c:pt>
                <c:pt idx="1">
                  <c:v>Feb</c:v>
                </c:pt>
                <c:pt idx="2">
                  <c:v>Mar</c:v>
                </c:pt>
              </c:strCache>
            </c:strRef>
          </c:cat>
          <c:val>
            <c:numRef>
              <c:f>Pivots!$C$157:$C$160</c:f>
              <c:numCache>
                <c:formatCode>General</c:formatCode>
                <c:ptCount val="3"/>
                <c:pt idx="0">
                  <c:v>7</c:v>
                </c:pt>
                <c:pt idx="1">
                  <c:v>8</c:v>
                </c:pt>
                <c:pt idx="2">
                  <c:v>6</c:v>
                </c:pt>
              </c:numCache>
            </c:numRef>
          </c:val>
          <c:extLst>
            <c:ext xmlns:c16="http://schemas.microsoft.com/office/drawing/2014/chart" uri="{C3380CC4-5D6E-409C-BE32-E72D297353CC}">
              <c16:uniqueId val="{00000000-42E1-4AB6-BCA1-3CE0D06397F1}"/>
            </c:ext>
          </c:extLst>
        </c:ser>
        <c:ser>
          <c:idx val="1"/>
          <c:order val="1"/>
          <c:tx>
            <c:strRef>
              <c:f>Pivots!$D$155:$D$156</c:f>
              <c:strCache>
                <c:ptCount val="1"/>
                <c:pt idx="0">
                  <c:v>2</c:v>
                </c:pt>
              </c:strCache>
            </c:strRef>
          </c:tx>
          <c:spPr>
            <a:solidFill>
              <a:schemeClr val="accent5"/>
            </a:solidFill>
            <a:ln>
              <a:noFill/>
            </a:ln>
            <a:effectLst/>
          </c:spPr>
          <c:invertIfNegative val="0"/>
          <c:cat>
            <c:strRef>
              <c:f>Pivots!$B$157:$B$160</c:f>
              <c:strCache>
                <c:ptCount val="3"/>
                <c:pt idx="0">
                  <c:v>Jan</c:v>
                </c:pt>
                <c:pt idx="1">
                  <c:v>Feb</c:v>
                </c:pt>
                <c:pt idx="2">
                  <c:v>Mar</c:v>
                </c:pt>
              </c:strCache>
            </c:strRef>
          </c:cat>
          <c:val>
            <c:numRef>
              <c:f>Pivots!$D$157:$D$160</c:f>
              <c:numCache>
                <c:formatCode>General</c:formatCode>
                <c:ptCount val="3"/>
                <c:pt idx="0">
                  <c:v>37</c:v>
                </c:pt>
                <c:pt idx="1">
                  <c:v>51</c:v>
                </c:pt>
                <c:pt idx="2">
                  <c:v>39</c:v>
                </c:pt>
              </c:numCache>
            </c:numRef>
          </c:val>
          <c:extLst>
            <c:ext xmlns:c16="http://schemas.microsoft.com/office/drawing/2014/chart" uri="{C3380CC4-5D6E-409C-BE32-E72D297353CC}">
              <c16:uniqueId val="{00000001-42E1-4AB6-BCA1-3CE0D06397F1}"/>
            </c:ext>
          </c:extLst>
        </c:ser>
        <c:ser>
          <c:idx val="2"/>
          <c:order val="2"/>
          <c:tx>
            <c:strRef>
              <c:f>Pivots!$E$155:$E$156</c:f>
              <c:strCache>
                <c:ptCount val="1"/>
                <c:pt idx="0">
                  <c:v>3</c:v>
                </c:pt>
              </c:strCache>
            </c:strRef>
          </c:tx>
          <c:spPr>
            <a:solidFill>
              <a:schemeClr val="accent4"/>
            </a:solidFill>
            <a:ln>
              <a:noFill/>
            </a:ln>
            <a:effectLst/>
          </c:spPr>
          <c:invertIfNegative val="0"/>
          <c:cat>
            <c:strRef>
              <c:f>Pivots!$B$157:$B$160</c:f>
              <c:strCache>
                <c:ptCount val="3"/>
                <c:pt idx="0">
                  <c:v>Jan</c:v>
                </c:pt>
                <c:pt idx="1">
                  <c:v>Feb</c:v>
                </c:pt>
                <c:pt idx="2">
                  <c:v>Mar</c:v>
                </c:pt>
              </c:strCache>
            </c:strRef>
          </c:cat>
          <c:val>
            <c:numRef>
              <c:f>Pivots!$E$157:$E$160</c:f>
              <c:numCache>
                <c:formatCode>General</c:formatCode>
                <c:ptCount val="3"/>
                <c:pt idx="0">
                  <c:v>150</c:v>
                </c:pt>
                <c:pt idx="1">
                  <c:v>182</c:v>
                </c:pt>
                <c:pt idx="2">
                  <c:v>163</c:v>
                </c:pt>
              </c:numCache>
            </c:numRef>
          </c:val>
          <c:extLst>
            <c:ext xmlns:c16="http://schemas.microsoft.com/office/drawing/2014/chart" uri="{C3380CC4-5D6E-409C-BE32-E72D297353CC}">
              <c16:uniqueId val="{00000002-42E1-4AB6-BCA1-3CE0D06397F1}"/>
            </c:ext>
          </c:extLst>
        </c:ser>
        <c:ser>
          <c:idx val="3"/>
          <c:order val="3"/>
          <c:tx>
            <c:strRef>
              <c:f>Pivots!$F$155:$F$156</c:f>
              <c:strCache>
                <c:ptCount val="1"/>
                <c:pt idx="0">
                  <c:v>4</c:v>
                </c:pt>
              </c:strCache>
            </c:strRef>
          </c:tx>
          <c:spPr>
            <a:solidFill>
              <a:schemeClr val="accent6">
                <a:lumMod val="60000"/>
              </a:schemeClr>
            </a:solidFill>
            <a:ln>
              <a:noFill/>
            </a:ln>
            <a:effectLst/>
          </c:spPr>
          <c:invertIfNegative val="0"/>
          <c:cat>
            <c:strRef>
              <c:f>Pivots!$B$157:$B$160</c:f>
              <c:strCache>
                <c:ptCount val="3"/>
                <c:pt idx="0">
                  <c:v>Jan</c:v>
                </c:pt>
                <c:pt idx="1">
                  <c:v>Feb</c:v>
                </c:pt>
                <c:pt idx="2">
                  <c:v>Mar</c:v>
                </c:pt>
              </c:strCache>
            </c:strRef>
          </c:cat>
          <c:val>
            <c:numRef>
              <c:f>Pivots!$F$157:$F$160</c:f>
              <c:numCache>
                <c:formatCode>General</c:formatCode>
                <c:ptCount val="3"/>
                <c:pt idx="0">
                  <c:v>312</c:v>
                </c:pt>
                <c:pt idx="1">
                  <c:v>373</c:v>
                </c:pt>
                <c:pt idx="2">
                  <c:v>351</c:v>
                </c:pt>
              </c:numCache>
            </c:numRef>
          </c:val>
          <c:extLst>
            <c:ext xmlns:c16="http://schemas.microsoft.com/office/drawing/2014/chart" uri="{C3380CC4-5D6E-409C-BE32-E72D297353CC}">
              <c16:uniqueId val="{0000000D-42E1-4AB6-BCA1-3CE0D06397F1}"/>
            </c:ext>
          </c:extLst>
        </c:ser>
        <c:ser>
          <c:idx val="4"/>
          <c:order val="4"/>
          <c:tx>
            <c:strRef>
              <c:f>Pivots!$G$155:$G$156</c:f>
              <c:strCache>
                <c:ptCount val="1"/>
                <c:pt idx="0">
                  <c:v>5</c:v>
                </c:pt>
              </c:strCache>
            </c:strRef>
          </c:tx>
          <c:spPr>
            <a:solidFill>
              <a:schemeClr val="accent5">
                <a:lumMod val="60000"/>
              </a:schemeClr>
            </a:solidFill>
            <a:ln>
              <a:noFill/>
            </a:ln>
            <a:effectLst/>
          </c:spPr>
          <c:invertIfNegative val="0"/>
          <c:cat>
            <c:strRef>
              <c:f>Pivots!$B$157:$B$160</c:f>
              <c:strCache>
                <c:ptCount val="3"/>
                <c:pt idx="0">
                  <c:v>Jan</c:v>
                </c:pt>
                <c:pt idx="1">
                  <c:v>Feb</c:v>
                </c:pt>
                <c:pt idx="2">
                  <c:v>Mar</c:v>
                </c:pt>
              </c:strCache>
            </c:strRef>
          </c:cat>
          <c:val>
            <c:numRef>
              <c:f>Pivots!$G$157:$G$160</c:f>
              <c:numCache>
                <c:formatCode>General</c:formatCode>
                <c:ptCount val="3"/>
                <c:pt idx="0">
                  <c:v>224</c:v>
                </c:pt>
                <c:pt idx="1">
                  <c:v>247</c:v>
                </c:pt>
                <c:pt idx="2">
                  <c:v>250</c:v>
                </c:pt>
              </c:numCache>
            </c:numRef>
          </c:val>
          <c:extLst>
            <c:ext xmlns:c16="http://schemas.microsoft.com/office/drawing/2014/chart" uri="{C3380CC4-5D6E-409C-BE32-E72D297353CC}">
              <c16:uniqueId val="{00000001-7AEE-46D4-B169-FB3943475F7A}"/>
            </c:ext>
          </c:extLst>
        </c:ser>
        <c:dLbls>
          <c:showLegendKey val="0"/>
          <c:showVal val="0"/>
          <c:showCatName val="0"/>
          <c:showSerName val="0"/>
          <c:showPercent val="0"/>
          <c:showBubbleSize val="0"/>
        </c:dLbls>
        <c:gapWidth val="219"/>
        <c:overlap val="-27"/>
        <c:axId val="1222516208"/>
        <c:axId val="956754112"/>
      </c:barChart>
      <c:catAx>
        <c:axId val="12225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54112"/>
        <c:crosses val="autoZero"/>
        <c:auto val="1"/>
        <c:lblAlgn val="ctr"/>
        <c:lblOffset val="100"/>
        <c:noMultiLvlLbl val="0"/>
      </c:catAx>
      <c:valAx>
        <c:axId val="95675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51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plotSurface>
          <cx:spPr>
            <a:ln>
              <a:noFill/>
            </a:ln>
          </cx:spPr>
        </cx:plotSurface>
        <cx:series layoutId="regionMap" uniqueId="{00000000-0DF2-4BC0-A642-037845D4988B}">
          <cx:tx>
            <cx:txData>
              <cx:f>_xlchart.v5.6</cx:f>
              <cx:v>Qty</cx:v>
            </cx:txData>
          </cx:tx>
          <cx:spPr>
            <a:ln>
              <a:solidFill>
                <a:schemeClr val="accent1">
                  <a:shade val="15000"/>
                </a:schemeClr>
              </a:solidFill>
            </a:ln>
          </cx:spPr>
          <cx:dataId val="0"/>
          <cx:layoutPr>
            <cx:geography cultureLanguage="en-US" cultureRegion="IN" attribution="Powered by Bing">
              <cx:geoCache provider="{E9337A44-BEBE-4D9F-B70C-5C5E7DAFC167}">
                <cx:binary>5H1pc+O2svZfmZrPLx0CILGcOjlVISnJ+zKeJZMvLI0tk+ACLgDXX39btifHWjyXroo/XL1KUqkZ
qaEWH/TeaPz7rv/XXbZa1h/6PFP6X3f97x9jY8p//fabvotX+VIf5fKuLnTxYI7uivy34uFB3q1+
u6+XnVTRb9hGzm938bI2q/7jf/4Nq0Wr4ry4WxpZqJtmVQ+fVrrJjP7Fe3vf+rC8z6UKpDa1vDPo
94/+MpMPRa3k8uPme/j3jxfLWpaFXn7wi0aZ4eOHlTLSDJ+HcvX7x42F8McPv21/3w5vHzJg3zT3
QEzYkcMdzFyO7ccX+vghK1T0/LaFkDgS1GEcM1s8vn5++eUyB/q3cPbI1/L+vl5pDT/x8f97Vtj4
PfBc/pjwPO7Wz2WNRQSw/P7xi5Jmdf/h1izNSn/8IHXx+ODqwS/WP/rL7eNT+m0Tzf/8e+sv4Llt
/c0LwLcf8v/21iam/wvef2TwcO/fB25uOxxzSp7QZFtwY3yEGXYYhY30tMmecH4DR/th3l5gAsrb
JAcG8udVvMzfAWPHPkKMUtvF6AljsQdj4iCHoieZB5F/CfV0vvYjvUU/AegtigPD2S+y5l1UtzjC
tsCEIvdJdYPIbqhukGXb5oQKx91EeDpH+xHeop+A8BbFgSH8R1ZKtXoH48yPqCAuAOw8STLfQhiM
M4OX6zJnE+HpHO1HeIt+AsJbFAeGMDhny3ZVL/W7gIwExQgz9ooY20eUrwXdoZsgv4mp/TjvLjEB
6l2iA0P7e/PjHewyEUfIQa6LxGtAoyOXM8odSjaBnsrPfow3qCfAu/H5A0P2j3x5X9TvIsQEnGYb
c1DEm0bYBhWNsSC2+BlfvXS2pjO0H9wt+gnwblEcGMBeY8x7WGJx5CLQwPZrlhiD7LrgUSO85U1P
Zmg/vpvkE+DdJDgwdD832bJ+D3jpESH2Ohx6ElJ7TxYEC845crdU83SO9uO7RT8B4C2KA0PYLyCP
sza+2ryHCeZHNuJCEML2O9QQMiHicJchcLVf6um38rUf7b2rTMB8L92BIR+ssg+XBeRZ/3nr7KAj
5jpghtfYr187WS8HQmmHQNZrK+31Jqb2Y767xATAd4kODO3bpfpwAdnZ4p9H+ymlzRhEzq+gDTlO
zJEjnC1b/Sam9qO9u8QEtHeJDgzt86XWK/XPQw2pToioHC6eixc2WOdt75vC2w6nIPIv9fl0jvbj
vEU/AeQtigNDeJZ9CIoagqt/HmTCjxgW1MXPJQuxk8+GEEsIBGab7gux3sTafrR3l5gA+C7RgWE+
h0Keeg/A6REjiEKm5JUCxjrtyV34B20ltqdztB/nLfoJIG9RHBjCt8u7GiqRyrwHyvzIZZDediC3
+fjaccrQEZho+AfC7vVrx1i/hbf9eO/5fRMw30N1YLgvspV6B3MNGVAX25AAxZDJ3rTTEHcJjhhx
txzwyZzsB3iTfAK2mwQHButtoYr3qDiDhXaIoIJBk8jja8cNw0cMudSBVpNNN2w6R/vx3aKfAPAW
xYEhfNzkP4rs3vzzXhi42oxT5Di7suscIYqIDV0lT4p8E+K3sLQf5J0VJsC8Q3NgQJ/k5aqWy+yf
B5qArArMXYeg/cKM3CMXnDMXmkweP7Bll9/C2X68d1aYgPcOzYHhvU4RnBbLqpHvYZfZkXAhQ4ad
5zh6R3+jIyywA10IT60mW5C/kbn9qO9bZALw+8gODPuLlbov7uS7hFrrmjRobcaehR2Q3XTMCGRG
GSVknTN9mUB5E1P7Ed9dYgLeu0QHhvaJGt4j2qJH3MbgfbPnVqLtJAri4IELSqHItQn0VH72Y7xB
PQHejc8fGLJnq/o9lLd7RNhjZfrJHO+rXa6LXojgLRGeys9+ZDeoJyC78fkDQ/Y6W96t3qethAu2
Tm0+16X3GGaQaPDU8JPrDVL9UklP52s/xlv0E1DeojgwnM/gSMh7tABC+wG0/4GD9Vyx2lHO4ojC
e9Bcsi3CUxnaj+/m75kA7ybBgaF7vkzfofgMSS8oLSM4PkOe4qk9bdoCuYhC69+m9E7lZz+2G9QT
oN34/KEhW+gPf6hola3eQ3qdIzhrgQn/Kb07Xdr8CDsE+gNhE6xfW9HT+duYewXtPYtMAX0P2YFh
f7G8h8btd8iTUDgYhyFhzZ6PX+yETvaRTaG84aAtqzydo/1Yb9FPgHmL4sAQvqqXINvvgDCBTBj4
Xpy+dvyCHXEXGnvptkhP52g/wlv0ExDeojgwhNenTN8jdIK8F3Mg82U/txZsa25oB3QJguYRsRUU
T2ZoP76b5BPg3SQ4MHQ/SThao+X9+4iw4LZLyHNsvBscM4iemQ2O9ZaSfhNT+1HeXWIC0rtEB4b2
xaq+g7PZ/jucZCc2FZTT5zLUjjBDsxiHwzeI7e0nmM7XfrS36CdAvUVxaDgXkLT+52GGXl5H2AKC
YfqU8thpJbCPoJIB5zQQJEteJkMupjL0Cr4b5FPg3SA4OHTfpRwBkRIcZv1bhHcataHzC1p3ISdm
b6nrC2htmLLZXsP2BfUkaF98/sCQvZWr+l3iJWj+oTaBLoEn9buvVxfetAH8/UXGyXztx3jrd01A
eYviwHAGiTGrejVMkZo3zpShR5RRxoj9WjsQOqLQDUTJ9pSRt/C0H+WdFSbgvENzYEhfLsv3yH+A
roaOLweS0k95zZ3aBByzgNZ7G0YLbRriqfzsR3iDegK6G58/NGRX7fJdxgSBmaWYcWI/57Z2sEVw
kA7mijhiK2d9OZmjV9DdpJ+C7ybFgSF8nTUwo+wddDSM9SKUwaGK5x77ne5r+wiOzYCfTbZ67Kdz
tB/hLfoJCG9RHBjC6wYmbwUDyyb5r2+2xNzF65PrrxQW4di6Y2Mb+jq35PhtXO1Hes8aE9DeQ3WQ
iNdqWd+/T1MXNOTC3CfE4Uz742tbeyMGptuxobNg0zA/Pfq3MPYr4HfWmQz+DuUBboBArqL3kPjH
TnvmQgfvVicfgI4o4bArnnXBLvaTeXod9s0lJiK+SXSAYM+hQnUn9V3x85n/M5M7GbdtBg17f/f+
bLZu4iPo50UuJ3vE/G+OprgWr8O9u8xEyHcJDw/29QSLuhmnPOE3m3WoWyHH/pkD3Zb19eQ/SJPB
OJNds/4Grl7FfXuNaaBvUx0e4h/OG6k/XP2QunwP3e5CQI0pxF2A7Pq1p+MA5n7aMIRoj8S/kbVX
sd/7G6dtgL2kh7cLYJ97y/rH8l2yqM5aqa8r0q+fjaaCw3hXmPv5+Pppcp7m+IKL9zb2Xt0He5aZ
tgv2EB7kHvBhVtV75N2gYg29ZNBN+FqdEx2tJ1VBcmYrcn/CfjJbv0J+c5HJuG+SHRrq8fJdhlbB
yUuY7wquO3ltbiQ+Ar/e5mAbtoR9MkevYL1JPwXmTYpDQ1jqVA5F8897dOsJVQRcdfxzLjsY8G1n
nsIkYBc6CrcwfgNPr6C8vcIUnLdpDg3pIlu+KPE+tRH8E0HbusANLYXr4th+Fw48d0dABXQnITeZ
o1dQ3qSfgvEmxaEhbJZK6mzZvEdyncFxDRuGWdDXWv6hfGKve8LZVl8h3FjxBq5eQXp3jSlo71Id
GuLr0bDvcUgLztASjGGC97NLvhONQ7l7LfU7xbLbyRy9gvQm/RSUNykODOHP0CUM1+K8g3mG4Rdw
Qgs6hZ+Dqp1qGYZqGUy2gcsYNs3zG1jaj/H2AhNA3iY5MJS/F9l7JFfgrgUGh6MBxW3XC3wzBod3
YMjJJrZTGdkP7Ab1BFQ3Pn9gkH5u4I6U/F2u0IAWfw7FLlC+rzhcNgRPGCGOtxzrt/C0H+GdFSag
vENzYEh/BVe6eZe0CIzwheZBYr822nndOirgpDS1t3yuN7C0H+ftBSbAvE3yfwDlX7O48ZvXt5v9
8VNX7oma3n5HHfRzUwopz/0yDNBSBMPH4HqNfTlPuK/k75v1Xo3kni7327md7iXtxm98+om/fijv
c+/c63fS/X3RX7A0y9njFYEvrqX79buPWxvuNtwife6g3wPi3019J/e/f4QWQLI+JPcC2fVCG/33
z9e5/dwXm2QryJ39/tECH/rIWR/h4HDpIIeJ3GCMu9XzW5DmYnDK1iYE2wRheEvBvPD48RJDAVEz
HORx1lUxcLY/ftBF8/wWJEIJnK2GSwxhliQM+P75S6+LbIgK9fdjef7zB9Xk14VURsPPWp+3L58+
t+bXtV2YNAutcTCqkEIeHvQJvH+3/LQ+hg8f/3+8jyrR8Li5SqQpT3kmnIta9WdcZZXvNvVXmudB
lZj0WBUsG1dxoSvrphkGb6hG6XPUZzciLpVn0uHGRM5pofNiXmVaemgcWo+lyFrIrHU8p4znUdrG
J11lbD8qQ8fTnY5iX7SVmueszJrbISq/i3goPAs6vTxmepn4JdbOadtb46lbqj4O/YEP8rTJ0mDA
oXVsrPohEmr0pWWHiwEVjRejVJxkTdR+LeEKhDMsaXrBiSoXSN6WDYnLGc8He14iLoO2tuyAtUIF
BRlJkGUSe5iKyKuROEtZbWZVhHzXYDN3+/KSu3HrtaQQ8zYbe88KTT/XseqO605fIq2Fb1T1ve6i
8wF1s9geAqzxhe1EZ91oYs8kZePJcKi8hHO/a3QzU4CwF4WWmcGXRQ9hV9C/hjFpw3nlVrHX2Nbo
81ijY1E3n+KU3PLEVs1JSWPL3EikqmO3Kn1VxfS4cgetbqmxRe3FTchaj7DQWRDUtYnnhu5DGjbd
yTofuGhUmgZjrq6HRF9SpzxVWXxZ2fiMG2te6O7UymlQjNFcV8qzk9F3ZXnfKfxJGvH95V2UG3vy
riiHWkbx8+Wif//xP5+LHP59vJzyv3+5vpv0v39arIp1wUdvf2itPP7+1H8vuFwL69+3XW6pgKcL
Tn9KzVvefIPyAMmyf6U8nq4I3NYdT1QvdAdx8NpUECiQofUgo791B4Gz2HA9D1xkamOYlgNjKJ91
x3qEuAu1cg7nfGEcLRz3/K/ugDHDUGeHrLuA6RwEtMhbdAfMx9vWHWDDoBdv3bABF3BSBhr0pe5Q
GXgvGbBx1Yo41UFCyJfItY8TpSwQ0GiGjAM7x2oHL2ybk74bkFfkmM5QK06Nm1K/JATNo2T4zK2i
WjRJnnkKycwraD5LmvIuwj1C3miaPlxQWjRWQKzmq+aj82nIk25Baxqex85AT5KeBbTCxC9ZW1+4
2Gk8N8LxvGfohwn1gx025rjs1GWNEyR9Wuh0Jvvm04D6G9Ym9KYq88yP0o4HdqYar+Y09zKhai9q
ROkNohReDlzxPp0nUWMdo4SFsySXzOONvEcK902g21B6RiXtMdVh5EXlGHqGpJGXhgpdhTgpvL5R
8HexUMcMZcgr4etHmSmvZjaCb5G1NxLBvZrwKhCku8hYeJUU8Wmv8LGp8wqWx0uTkeqMRmHpFaZ1
vTZMPhWu9lNanLWW7Xg1JYkv82pYjDGSXt3UM95UsV/HNJzZ3PpSjvpW1PVxGdv8xK3G67pLhwAK
sN9Ixe6KuriskMtAB8aniLvXrgk/R61KvK6rgzYVD3XpnNiNuHBBg4OGs6iPlMMWZVb8mXTZKVXy
e58Y7Q/CeugjHvuNEXOwAn+5SqxKxaoT5MTST5ThnqLwWNqMlB6Jo/hcyo55aaXlX1gV13xIvqY2
y70uLwovU24/s7joZnmhRm/U+htt9XdOe79wcDFLI9l4QyRjv8yqrwUR6Ty3M9frOY0CbfefC4A+
y3BLfNnaZqZG1Po0swo/cprrUme5Z7MumdVjc+eU5s82Tu/zSDnzkKD7MkyTedzH5lSF2AstTuaR
Yu2c9iT0x0pH8PW4XzS2LT07dPLak6hyg9IhJ1YjxCLieeITXoAgFPxhSGjgpPoHKbvYE2HHZijR
adBQ/dCpkgK3Q+6D7Jd+qdJsLkfm0TgUHquF8CsJMhL2Rea1RTwGIap8khnidUO7iFoqgpj3V6QN
j7GrruNeXdGUn1iWnDf4BMx52F0IWFM75rasOuPTgV2nOf3GRH6VqirzOpIMQZj0ixQh364kTE03
f7IstoOiN7VXJKWYaSZqvxBGgFFT8yItLzBuFtrKv+ioOUmr6NzkZX6MsPYlHq5x1h47TZd6rBOw
2/v+Ks/weMrt7Hus5aVLwYWgdsdOkoqdY5FfgjeyyCxiPK4H7BdpOnqUGhlEMeK+FSF50iTyHDfy
HOXl9wz1lcc73XgUhV8c5n5ran2F89RZxGkhgj5B1Hdjxw1quI7aiyOWelZjFpGTK0/QsfetIf/U
0fDbGAJ/Vdlob5QEVA/QRXnWe5HJgjJJT8KxXlWKODM8ZqVXCXxsR8XoxwNNPQGP1W9N/A2H5MZ0
JPKIbIZZm2gnSNuaHqeV/QDTpM8cKc9lHDOvz3IC27oK7Fx+Hyn5HIaAex0WzK9MZnlpgj65XHxH
YZJ7EVE32Oo78Kz4AxXNwozW4FWKhzOs25s6bhahwp/bWF/YrRV5rOSnso4rL2T5TVapoGfSOo27
7It0jQps05/Sgc/aKBs802PXT6os86nq0lnm9EUw2vHFqDoLfIeiD6w6e4jG8HNVRsQbEE7hx8Xl
oo+T+7p0r6ICgafAuzFw4PY4X0E94ayLrPHY8HLOOhZ5YzXeDIR0M6s1pZ+K6LYnctZg61iE5ZkQ
eTt3yvoUxuTHYAXiyK+qfFiQjjZ+Rgt3HubDn3ltz01kLyvdy0WP48bnXXtJm/wLdtvzkRVAiuXM
aZ15nUSztuBnsqyPEx2a4xE2kd+NVHquYy8Ghu5GVF64EejsXpAZTeJZheqVSeSF6avl2EczJkE6
9dD4MA/pe8FVEKY89founIWpfcwMaNPIzJ0WNoEN+oiApWAy44GbqszvB/a5bOTF6Lir1ICilIQW
szZjxyDcvWdGeYFIV3u9Fle1GKMFdrqvGexbj2dOAoJSx36LLQ8E7aZ229ajbCwW9hAtwXbWs0LG
jWeBszyD+IJecW7xhQXnIxa1rv+UKbp1VZP5xSi+IGa+J2kcejXoBU8b2BoZKxFoEDQfMf9BQt4v
alHPgb8fdVIVnuLFvQ7HzBMJagMVk/FSpYkbhGV1DTbvonPgva6Mz4xQjmfa2ielVcxE3tyHNC1B
i1b3JFZXSSK0H1ph6ps2vEAlbTwnGuK5KEQbRL1xvDBpsrWUVX7I3cuY2SBlcDetZ8liXjTR8QBO
8IyBnrTC2OssdTsUY7yQVvJXyso7t2M+ifN8EYbpAvwIwCBsb5FbIr9qK3Y6WuykNDGYYuWkfgau
kS8hLPGphfSVGJ0gGvKH1E4Ln+fdVc/CzNNWdG4TmfvClA/cUtEMArXvXWGhmVXlLqxEl2nsul4Z
WX/aVRPe1FxdgDbXIrxw2ngRS8e1/KyJ+YltUlFdFllWxNSrpR1FXiKrdpzBUaQqPv//0Y9+6RC7
0Nf9Kxf6ZSrjKQ3yGNI+Uv10oREcHVgPsoIYGg5icxcW/NuFhs6z9XEw0EQcUjHru5N+utBQs0br
Q9v2Ov8Cl2yB4/0z/MYwQAUWBNPLoX8FplC+xYVG6+h6I/oWcGc5TEqjUD4HV3/d4PTSgzYjKcqq
afpL1RExa7swBp+OJCz1U9a1N9Ryh9Okb1U6s+3UfDeF035JHQ3GTgtVfXvx9PYlA3b8echRPIYG
MFDCWTdmbnLjqKFMRdy0l7hS6DJKR/BVG1bQ2O9bUwiv7ZzmO2tLC3zKnJvKr5IavNtw1Mzx4Yy7
uhfG2FewRtwEOMvQl9G1OFoM1A1XaLBQP/81xxjCnO3n58DRXIg/YN4zDGyHkOvl83MkiwHbwVyS
3o2igPZj9qWFdgQyN2wowDUeepQEkoXcGxkdpDekNlnkbT2goG4Lcx/3WiPIHZRuoI0sWs/ksQ1p
i9pNo1lUJPF12ojTXItYB+u46quOq7M068ARleD3XoB9bfPFr3/VLgwwAdOGmeVwfRuccHj80S9S
Mmywos4qM32pTCi+FhFH2HNSDFujVE1/3fW1uC1DlP35669d77WXexHmiECMyQhczAzjgzBZs/Xi
a127j5xSR+pS8RFdojRuLpWufcnD+OuvvwnEZ+ebBJzSYnCNFcwv4Vv7rFTOMFZ1XFzy0naWVVfU
2SI0fMBeWsYzUKrZ6BN74IWfELfL/7dNs94Umz8UNgqMDnbgAmqY87/99RAZyzhSubxkVeou86Rx
l2m25sEdcz2jNUQagw3QL7qs6rBXpQVbmUzok04MznlPSW37pEuK1E+Yyr+QusQEXO5hWJVWWwaQ
scmZ74rCqY9dQsfG+/XTW98JtM0/W6sNiMcg/ocS3yZQNm1c5bqhdYGaMF/K2ujIQ1ZqwBSTYVDR
aRfL9EfERXnej1U8p4XTSx+jlj0YNo6FP4D/6ztF0q5kTdh965YxO/01k467AzLkF2ATrevLMJHb
ZVCNermdaM2lXceGXCROVYaCB0bE46I3PRFz0zaNX/eVfdPmgwsZO/CF/RqphcY1uP1Oif00q/JP
ZebmvceyLvrWJXlxMmhjvBISXl+oTnkQVir0myJJpCcNSTrwJrS67EpLX1XWSGZRhETiWWOoch+3
cX7sUpN9wkl0HQ2K9F7WsOrShNVng3OLBLTF8CDlgEE3OM04enbHk/Msdvn30G6c05hydD5GfSv8
zo6d3IdNJ08sXg8Qnw58DFDnWsGY9HelrswtpO4Y+Cy5YfNQV82JE2L8uYpRly5CZkFcPsZp+APa
YuvWk6qy/mpyloP3o/FJWqjyBFUiu5dtSUHuSZ7eShH2zGsrJzqtw7rxwTWClKaDxVXV5f3M6epq
jlCP2lkG14FGfttFvAIPMg5nuSZ10JTiKg6tyA4QKswxmBrc+cpOqMcNy/7sczs+w7Uob11i3EUj
EgvPNc3HJadFPYPwORnnbcqjudX39hLrrHvQUVm6/oiN3Xgqwm00701SgHB03WyI2obP6yKMA4hN
82MFH4VQy6kLeNB5y7xEJ4nlM4h9PVa4/eg5Jgt9YiyVL2qaziAmH+ybjiAnkLq2My+BnWTmxHRC
L3rC+nOajmMW3jSQUc5zb5DZoOr7OIwxHr/rzupZDrF1Daq8uMOQLzKk9hrTNKV9aVKTp/2pkNW4
aEVjwpO8lrL0EpwVtzazyEkCoUrjN4BBCKluW/QAV855oMIQ7KHJ0q6a0bSLbL/ODAqv4sqmrDhO
B9bFwdBnwpxTbQjsqC4skO78BmzhnFpxEl61IDoU4htecthwJNX5XGWyFl5WgfEKZ30rqW+FUD5y
vSG0lQO3y4Z57sei6cJ5l7Esn+kQvIK5q6Ic8sOjCxpT4dRp/DyuLcgL6CHS11paeT4rIskfrKZl
0g7sApuFdHjDL10rjMJTRZhhbuKrXlfjAJEJaLd4VkYxy2ehbsdqLmqt5HzIaD4c21rnpe/iIZM+
690hW9SykpYPsOJvVpmPKIBYJM0D+M+2rrLEtjQ8cqW+JXku8hNSC5PN0tjQT2NjCJknVoHRWdzF
mimPxTg2i7BuS3ULxpicJtGI03lTAgezwmTROIN6wyh8ngxld5HzAba2BaJSQwoENac1cd0siEIS
NQFTLcApmQb/RI0JGVdZCjf+BBwYyAMy5DHkoGzpHEeSQSISp2lFAlnIMBibMHU9q6tLcZ2EXeL4
RFbJ6OVlMlpndpg5c1SGEZQnYsHKGRrisTiJJeogASScuPPWn/OQkELB9olI5fedtEaIsKX1Vw2z
8gfLkyBH+BKNSo7S461jkc9D1uHmkpZiKAIlKnPhNgpMUqRZCgQiJ/C0Qhkj9X1EmYpPqwGyEnPd
uaM8QyYyn50Eu0u3D/PQ4wg277xRPSMzTUcJzDcoyQNIG6YaIuZwJpGsvmddB55FEiXtrXZp96Os
Y3Lcsi4KZzx1bQxhYAjruFmR9HNVt+hy7Evi3Gjjos/IWPCJjlqa+wYNrJ+1OE/kcd1j3J0oFml8
JS0mviq7Wm/OJKn0gmU61tf94BgOeaUOsIk7BYwVkONBZ2DBxFcCKaF8loOWrAMYftYXJwYiK3yd
1E2afsJcCeekd5KugSDdrJ3PeOiv3dSi/azocvjqohjH1utxbsaFnbL1j1+z3oF+Ar7KHF06LuRv
bprKhUcF2aF09EXaguiUWZTKG1UzEPm6Aa8ggvdAp2Kj4qsKOUOtPAIpU4C7q/vmIrfiUnvSbqp+
3sPoGDIb2gqvlQYIkw+/CBRIL9DaTzYq/xrCfZCnvJWSezx2U9gXQ0SXnSLARl8nwydielufReDm
JmcFpP2SWw7WYqGVjS4rEVXf4eQ7rbwYUqf4tOCRaM7CuIjaYKhZ1YGDO5BFieGx+hB/D3dplrrX
faPt4riyhzb91tE80sd5aOUPwyjWOkRWWRxAHMDJDJJ0sZ6XNBffoJCWz/OujCqPOaDmhrqLP8nC
6DORr7MALq5xBGoPbij22hiLr3VitdEswwrEZLRCIk4cVaBqlYNCHk6h9Aiy0a019ixxLXiifTu2
MzAyXXWG6gZTPxSZacHSktYG17tK/qpFKz5bA7jpp6MwNbo3Wg3ay6G+2Z7IDsNSfY7i0Xe6iEYn
JcDS+VYq6Hws2tZcQO4lu01aDUlBpo+dvG/d47GjAE5qIz1CpjotigtFe+fcMrZTzOJK5e1ZNEBS
w+euzuPP4Inoe1soUCOgOnXrpTFkuz3RtZCaV1DDu82iCsk/UTES3nojeGDDl9IQS8BiOqxnMbPS
6NQKy+5HHNlWC/kHTdMTKWx002srHBd1A3numRwb2KQSm4Rc92k2upc5LbMMkpCtTS8cFDu9P4B3
o2ddXAJqHVcS6pMjy0F3aJ3NUE96yMtnmNeLkVew+1Onj1gwhIMN6ZdS0+pb5w7ocxLXsNfA0omv
sNdzfa2EQqBgcSmSOc9j2kF94jvmTceRl6Yt++JiVXVB50bGuXDCjLefqlCLGow77OhZKQmgCYHD
0J9LYtLinNVlTK5xb2f0BBLUAn5X31vRRVpbZRfkOgSdAd5YYy6yLAT+a5FCjTHmaRx0vW2fDJUD
cj9ArUl6Thizi0ev9LmB4PrJyX+qf7+sCb4sEU6pNV7Iu7rQxYPZLjZuLPR/ryJpQ/j828u650Y7
A7irjV6+TMCsmyBce031M50C3QwMrkyCK+V/FhD/m06Bg/rQ5s8ZZFmgOW198fjPbgYBlxpDCgbO
cAkXTnque8R/plP4EUSaFNogYNfD+BaYLP2Tvw00oY/j+c8fXnQz4MeK48vQzoXRpwgGVENnxPrQ
wXpQ08ugAzKzEZiC0LlKx5INJyMtcvKjjYkJr0DNkDy/sMCtPeYhy3yriW8HJ3K8FArggcKN7aEQ
ssMQ9aWzRhgn0G5uH9tdmgS8J7XftMUSDWPkN65cQsWnD3ICaYFa07Msj0DLh8l1UoFsRaGZlbl2
vJaDfPNhtI+loDpIGxSCC5y2kMnM21lcQ00hpuasUVBdREx+axG9kUQtaJZDcaUPVDsuZGU6r7Vz
G4oBxc0YdV8LWpxoR7uezApwXSCf6wvQOJ6sx6VI6htKKxuuk8PUExm+xrbJLhpnLOZg1FWAw6wA
f7p6IGG0bJLG+LnFZmZYdVABCCCmmLUWiYIsVxc9dr6VKio9zbvy2NEQRdWkg9R9iWKPFBbkVDgU
gVDbn5FRJjNcj6uGh/OmaM+Q6BaIgYNSFgtN9KwGtx8qry14zmXq1y1ZGQFBXheOnrA9PJJz9T/s
nddy5riypZ8IEzQASF4Oze/lVXI3DKlKIgka0APg089C9dS02SaiI+ZcnDj7rqNU6voNicxc61tJ
sx02CLrxUuTgF4I5WdvqMVyaDlRGf2ihx2gpHpuIpPPc3fWjcy7JkuAUQS1i7d2Kr3RpKfQDXY3d
fiZuuAt5f3JZ+9FNZZNABbo4a3RBZ9gltMk7fgp9b7xztdPnb2JsCi+bfFl0d2SbTb9v3c7EhVM7
L+AxIhnztf7uMX+ny1HhuF6+R1O5w4Oei0SF+HG1qM+BulMiJg2veNWH2ZTXtMvDjChtdsNcfinC
R6Af5pU70eO86Tt3dd+gH5wcub1Wq4gSziY/Cwr6o/L0STmFeWvKocZ422Ni97skXDEtMmc4CDbe
oWwegjEkF8yxj6bC2wJEM8RFEd7kegKdU25flLF0Kec6ht8eZTM3zmELvlwhKZrA+Wmd0QG0PfXS
Bh1pXUT+npEKAyZG9d6FXQatLCGy/F7UwwZV22y7UIk+EQZ+BZleKyUPErdN0oWdjtGRx30wbdlc
dH3sotppRfMkHMmtycnLODsn3vtuKjzxjeVlgX7eC+IpNzHu5hT169AEdZDwWZ46eMtxiWljGUIW
l7z+msr5pm/p+zrlF95sIq6NuIbSc+59QDlcRucOo1Hs+f6aCLQmY1mVsZhXtR80yt5c+m7sRYhJ
1eErnKKsbdjRmYpXv/b7h43wEm4K/JHGY98CUj5oWC9OpF6GklbHvoyOmx7OeRH251xOLxxEAsS0
B8L5sfTDGxJNd6XDP3u6XbfteKglrs2Nmy3t3W5JoSzcr6vc12jGiqXaj6KMslrDasTdw9+mdTqW
nlju83AtIQY0u1arM58BKfyXFMD/fqXNiqT/urRhIeL/21TyC9PDAPOHwoZlMrjZA3gEHsBqz8eP
fvkEFsZkLgJseKQJFuMzZFJ/FTY8yB1JGcc+6AbCqUMhmf4qbAGwPw/WrA1Auvg1/ncKmx9ZtexP
hQ3FDByhC8GPY7v3X9W0aXMqs7CFX8ME3i4DNvhj9JBhOdCU6GKFWLXli7fGxONlk4ZzHsgr47QA
zJZKwPCemdNcgVRx2jn2CvwbRQIXktAsJwsVUYZ+zsN0sykGr1vNYoHitrSkhwlcUNLGdUCiHlVn
dPs4WhnXd4sIPMzARBa7gI0kWXT37DlLlUDcOMxdEMbTtM7xsEJOH6uxxblOpl2+OI+i88AY8iaT
rUjRo953BtwLpCsaSzjBvWzP3ZBfXKWfzNTDnQ1kHvd9u1/6Iwot9Jii9+KKiwouyQwzUwc4kMOq
jpd8K+JVb89tEN26zrrEDcxqskx13GucSNgg1aeqDU+Yw3940CLTallfZs382C2ac1s5LG2luZ1k
Z3aKrzzhS4Qasw5z4gebTuuZN6ljui0zbGQx2KzMYYtJxQIHU4XrD0L1uSEoSQs0uqTN3R9a9xId
w7QTOLUrNjRJ6zYXEXp9Uo3j08Jg+ItBXaalXpK1Wr1sk/4Doc5uCBZvl9c5KjTkrXzM+yMtMfJq
Kq+FJ++HQSV50J8rDv5Aiw7txoA2AgPb0nxQSCQ4Atd09h3gNXXalJQka1+caN5mYx/yuMs3P/Zm
LeKxkfUuNAHZgbjAXLu5u7oZxcUx294tiuel60QCjqLa+8avUsKLWx2MaNGjOXGH+bQuIAwHZ3wu
pMGVWLOzMe7DXOiM62aNhXYPdSfui269VMxPMZUD1IAwkeXQkOKekvww1nmZODq6dZgMsnDwP2Xj
Tge3l1PCOnnN3G7elz6UMr/+hljTUyuGGObZDYbwPgmiGh5JE4kkbMRONO2TCsLUNBag9F+dfpFp
INh+Vc2DrtmxKwYT87xs4xKjeGImseJC98pz34+QsCI0bKVSz10AYV9487PO1ZNLp0c61cAwxm3f
ldGNmFhCRBhTNn/AOu7iqVOQ+YK6T4faTWXoQmial4dcbDWYGXfJpCmOxUSLwzAP9wvfXqGmvg0M
lVpXRsBsr4ZMrNRNqLN8WyuHx25NqxQG3IkQeYJl9N5t4Rg7xeAlnnQfIsZ31Ugf+8nZE1/eKqfC
CFf5D2AAwzQsnTb2NbkuSnpVBT1J/Lra6ap5rmjQ7TvXvLfFpqFZFodlHamtf1HSkbpL/baRO7RZ
r6IbVnw+FeArvYXnCK5MGrnOvnC28QKwFjpBgIvUa2iGR77xmBO1ayZz47r0c2xQl+U4XPdB8E0O
eXkaW7/JuKs/6yq6F3DvYu73eew22sTTZr7U2op4XdHy5YVHEy8MwqSfZnffBEomOQhhnte4dJCZ
iAEWS1wAlUkGOH2wM8pDXeh3Xs4d2pyuyzSPrhY2XLmEgr/QPuClBmxcbXBBQZPfiPM1KnouZHUw
m3yFZOVlHLJg4Ncq6bV7dsZh3YWarKm38HuKdvhYzC1AFmGbG09cuXV7MsARzCzOsPPuxJif20Yc
y3l4yMvha9bRlHZqvBiZ33DSP/ZhKaxHM8ROWfBzhHMRZ6PEndug65OL2otaPndyNgk4Kdyz6OpZ
rsYMKscMZk09RdO8xIskuKe7Hv/zqn7V/gzhAL12vWCEaUNfJhHkr11tACKpT2XtCUi8VdYZei55
+6oNPlE3Wh4aNXtZvkoIOEGU+BN5gkP9WRYzZOc6cAC02A5JfocN9baNztfq4mLoO/7Yj/jCFFa2
pKyZJxwR3bAb2uB2FZDt/dyNrYMZN80Klbm+x1tN1VLebC2lO0aHMClW4sVbE1xgqVrrzDkusq6S
BSDKkSr24PX5SxlEUEia6rNV6ARzqnTsqq07TPX6ze+AXPEAngHM0DWafnPY/n/LBP/9uiTn3yLJ
/7sBWfP5TwQA/NYvAQDNEB5G4KMRstt0EVv4vU/y8Hgo20Ax9hs1AVvy9z4pgj6N5bs+Ayz8ExT+
1SeFeFIgnhSHBX94ZA1kgr/HU/yD64iR38Ot5qNVwut07T7uPwoAxQh+U/hhc0Pc4bWoMDpvKIau
YcfGBeonUCqncckCBtRzxSHgF5fIDNcqxH2dq3Y4ttXws1VJRlt9gTPvHJRjZetyiDs0WQtzceY8
5UTCX8AEVdlK3qCkl7a2rwQzTD29t1wX8eLSH7lXTUlP2iIpmD5rtAhQAYYkrJENALiVcQOC17Ud
hbOQBvMW0xiEMJYHtvOgxuHJbLuRDm2JZzDMeWhUFtuxQIN78W0PA2n0h3T4CVY7So/tc4oVHU+L
1oeVsJ87NENb5D6vtjsStk8qS6LAgKF3EraL2mw/1drOKsiPPog2YzuuAeJk7KEJ28riag66c4/m
rMR7iqXt11rPu1dVna5F0WY1Wrrc9R5z08yIRixtzCMfMIXtAPsaSgFFU9j6pgLm1T+Htl/kINmW
ImHrUBUPsyf6NzgCT2aj6jyH003v42BpXAXbbxjf0OIeq67et73iMV2YjKkyMl58oLhlHl6Vhffk
D5MfL5W6IdjUntX1sqUe24psi6C4F2NE9kQu9z4pf7Aml3u4D4kLT+Es+fus32G8AD/k75Px5X4Z
nT3EsgJ9EsDjp8gtu4fGgXLxWRXbD6XL+80HPxwsvUQhAlYXvo+uuM5xfQP66pyDnj154415dEPb
fDqZKE9ohLCHCjgwbtR6p3SqpKSRufbFBrGzkq3aw7d9Vp1Kg6otr3wtP6HlAi2URTSA6cY0/59z
7jfJ0v+359xv65f/8Zyzv/XrnLOHWYRDCzFprCZDfOsP55x9YEsQBhgTf56AoFd+cWOIXuBHECAD
hoVlyFr8Pg/i3MRyeRYxD9tSfubA/obQiUVJf50HLUVrD84ID3PDdjT78z/AOhQAS+fnxr1hKOL1
oVpXgCrhUF+JvEnoNt3hannO0T544Ij3qoCrU5UwUECBMlnsoxzwclXrb+MM4saXEA2hTiBLfl7y
IuGtPvp6ghV6YIK8yqI45cWuDIsbV0TFlazg+XFmojRwEYKqJ/gGUDp+NBS0BabUGtJ9+BrAL8hC
n4CPVfPrJtuD8iAs+my9rdTsZ0NHoI36znlb0UxAtbmynB54s+apI4uBTeF8Vj1w+M37EZIebfBS
I8Lg6Yc21CqpNX1VhjyPG+UxMJdUgOdL1i267rgxZ0Lre+4igKa7dot1LlLMDPiLiIKwfKH4i9N3
2IKp60kPLX5VxXkOEQzu+RBj/vru1C/M3JZwT+PJSSqmxgMXUZnmwTymyleGJqx2dBsDjvXntPeN
Oo6TP0fvbkXzFdmSsT2U3Yp4m+7qA6b3IWsEWeKZ6j5zckiIDqCCbPLCZucYUx99bx3dhFfQ90yh
5rvSDC7eWDPerSACMfuuA7Q1oNqezZZMI3XichBF3HYYfdqBv8hthCG71CqjIw1jaSMu81Ii/hBJ
mPlRzvY8UOYOGUUai0U4qVBrUkJNPkXNhgETs8ZVzhyRqmiZTmWxBns9FibuKM7CdPAgp5HSh+5V
L19eJMP9UA5LMtR5cXA5+VhnfH14gAIUZLSzsTsgMAJGTh4odLGIgMZbBnAhXY9LdYSL2zjLlEgm
mtvQL+rMnToe18RUWYQwyZ42Pgz1dWJ7iByfrXajPWbFMh6AN9wChC5O+OS2GA599x5KgDaeqZxD
jqgdvjC0x523glB3Z9hJ4N5QDUfSffSgo2I5IeM3sQlxvJCMZxVIdS7UMu6BLVZxj0j2vseYn+HL
A588sS9MS4gvmvILk4S/t7JJGTtb6+9F1JfxiCTWB/B9VNUcvImykaCiHTn8O7pmeaFcglfZ8VSA
x/7APQd8R3jOQW11N2elCDcn036od5BVRvHVQH84hNiIeQcHdUArEEznOd+c8ez3VTIixNIQF/q8
zbV0NuEiEXUxBCq0s+VzLCMls6nUqKvTKymGZyzl2uLcZmbKdoNJb3M0wkGiJkC0xkXEBr589WYi
BEw8m78xS4hq3aNsb8sdQqVhzDhoD2lDO9HCP0ukeBYHFIqN9Wjke5QN+jAkfnwiTg0FSMRVsMcw
wRO4GPYQia7wURwX5IYk7lOy4LqY2/DRQbJoQMIIMnMQd8gcBQ797iGDtDZEp+6ob+dtDI8hckoS
eaUJJDtSjkDugWgmAzJNqwDQWeUVQgLeJpAmgoAUth1iB1MyhuV94UCiCWxMarGBKeZs7xoYQowc
46FCpqpGtipExopof0iNjV3pCI1Nh4vNwkRdTLuo+hBh173xehaHwl8rOOKLH+shoifku1lMkSSD
AtB+RBPDmeUsXcb94VYq8sCnyc5zdXUqugW3siz6rDYqxEsic2LIzHe9xpmUS1XctViSGk+4Xe4W
e/NsTp6no/1H556VmciraO9AC7tvirFPQ8Q9YKyOyNsIXsSE6WjfU9dkmyhD3NpFgxMmMHu9GAGK
pwLZErQ0izawXnxkX4CDtrSm2xGD643TDefWFxe26DbzlePtfYUp3YcpsgNqXO3KgKEbynM3pY6U
B49rlgqwXFUJriOvKm/v+RpHvcCrLVvctZ5SNquF+Au0yCY2PU4pZ8jdPXqb4o6N8OLL1bbHCOXs
CZIJsYDcHQ/FXCRdixkdx9T/hSb/M9LZCexfC99A5N/xLMr36R+7HfuLf+x27KYBZMp9xEotCv9L
/UYjFEUMi4B+qtjMDlS/T3UMPRJUHSDyNqCKH/2a6n5T07EyLASkahPsf0v9Ri71r+o3/GFo2hyp
eC9Ch/XnbqcrQpSUNZQ3jtMUB/ir+7LAUAE38rwEq0GS2psuevHk3nc2fx/p5bYTyJ76XfsxIhmY
TmQ6NKZkWeSPJikU92NByyFZSooaQpSXligGcTDwLYVb194O6JhKto3JOvp+op3tDBbqMjJ6CGUE
BIaU+8H0z3lYSIT/wqttNJgHZL0elmY+FVacrCk7bWEFwZAGV9yjyMYi/T1X4V2kgjrtxupudsZ3
xH9h67HiaW1ZHyugyYDxgjWp1+2KdwG0RzBbru+/RI185no9R7V7UUHzSFh7NcOZTYDnfOvG3ImJ
C8wyV+cA+Vgotju3IK9epZNiKHazMwQYfftLH8gXpHmvkZsRccn0ftUM2TtOESsNp7jTKLIkmDOo
ymWMeH+T+qPm4BAHk4Vht6C620CvaG9GWMbAPv2DLD2o9Gq5Vg0k92JT7p7V807w4V7Xq0Cn5HYJ
8bZbP+ffvbl/rBfI69BHY7/objXlO1O2xwrIFqJq0y1fgm/lkBdZT80LrzCFVor1aDZthqdDMMiv
DKQvL9jP43Y36i7YuWVz0m7zWW6IyIaz942XaKbGxssR9YVUuwbedZMHBx0WD8M1LY98wQymwjM3
QkBndHZVsGKoHIDjzJvIZn9egeeELyXHAbsMnRc3stpDQujiupXf64DLVMwY5LzB3TUhYBunyMxs
DpWBFN624mMc/U/EsT6VdIpDMdBrCyrpdSgAl6+IN5uGPvnoIWEnhDBScltjh1PL+LFhLui/cjeG
Rb1zAYZmRmsIvgU3+/DnyNmxZc7USu6qXv2ItlqNCXOwKwGK5X4b6BQH83CiBCrxQPtDxBGLk14u
APRBFYeXdfBI0e3lqN+BLD5WjkzXqUVhxV4GXLq4jqJn6SMlWw7z+gBTe8iqCGJ+HaAvN8ByEndb
3AxWPtRM1txHK6IXyDzaROCxi/glXyc3butRpE0hcF8EzYL60Ls7f5AepAHu7EjjN4kD9ulsvO4u
J+V3v1D0bs7b+9D2thazP/bAHOBdQVYn25JNFIlXCM83UuJOQc3QiAz3t3nALmXrOGnvCNQOgQ+w
42/z7J4meVdR2sfjGN6GYZsfNZfXOm/AU8zqFHnyB51siNOI95a2fRbUiOASTeoUzQ/SzmyAqTCw
Ii03AucjEdubV/g/1vEixHGSKqvkAPk5x2Wwtvm7seChZ4arfKtdNGfkQff0gCgjAUFcPpGi/qwX
3DIINuPa7tluiqA3kRaOGkh6AFzNI4D2r2iVKik0rju/CfZUIoJGMeDEpN/meC2G7kI8za7crn0k
CHlf6xWAKBBukUExzVO9rTDj8hyh5tGRACzXq3Ws4cYF6LuaqHooR1zNjBbucWyQeYQdJDAXtQhf
mO0OBhxchw1W+dSuW9Ibcu8P45I6+JfichvymKwc2Hhd57sV7UMqh5keSnxfK0VHBcoaosxw11L/
3Mjpwcmdx5xVEnPWekLCz8v8bdNVPMlxFDcQ2ceXOoLTn3F0/yKZFnFe4CVtyAv6rberVN5h+0iF
jHcEE+N/ZGIOVff38Ntv8gf7tz3Br41c//z3frUEEHpdhNMCuNh2je9fhF7OfOgi8L0Bqthq/XtL
gB2gQHRd9On4Kx6iK7+3BBx/gMTczwfden+P9OLszyEY+0RNPHUTD1zEowGgHdoc3p8EEBfDUktk
295srDz52BJBV0yYGt7V1gm5g0WNITdvrihQzx3UmoOzuPuqn2/KhRy7RqSR8u46F7eK757U1L/X
C33NpybBVHalN/dSRPSwleB1aiJNUgbF62SauxVJ0ww7cd7RFvGEYkiPYUv1yQal8tyaBnUCnCjG
kLnDEVriapbhBYjvbVjWiNNKwE5bQBJwjx8I9+3glSCgL2/6kYkYFOaLclceyw55XjYgQ7fU1uhS
1c3C5Q8uJfa4YANBspUBhx1Uu0dmwss8B0c/bx99oz8N3a4mGn00+fSIdQAoUk2xl3w5cwazV678
BvbqqQFMH0cl++YTBFbk/KZKvpssWjS6BANSFN7SaATVJm+Eqq+FErueuMjaMIWtDQGC6e5InqN2
RFpxQ+KJiUs5QgraenPGTDofO9YMKADwkUsetTsiojekMW7ZulzoEsrrfriDrL5r6yozgXsDd2C3
+PreuBBsbJzHH9133y2TqiEvK82fkVvc8WVZwB4odvCb9gM4xLeewD1qt6VGnyKuzYqPbqiXO0fn
EMVr3j4N9MjNFM6Y9AsZY7fFeg28epcrzISotCoxy/pQYkjCf1e7ik9NOg/d04KXkQ/bltQV0VCa
5Z5VlmII3UQ65jys+B6QXUGExQmbVJrQiY3x76tQnpXKfyDvBOWD80cq+T0By5Fg1rtELTT1hQVl
UvbYsYDg4D1h+ZGJmV6YxHIgPYjHMO++h04Fvri9a7F9QnTjUxEhXQPWBEUBb+qA5J9KIoJEI1L5
RQKZcOfTWSPrkCfoUepdXy3pFiHstNV7h66H2sM4h+Cgybxp+QwZWinKYeQ5Qf8ioQxFbm/NC3za
dm1Tgm0GCl2gO8X+NGLFURhgA4uG2I4oX3+1mfHbsNX3eb+EsKkFtkFUxMUwimhMu2BxSjPKswOn
FWsZQBaH00vFgws2+993q0RopIrahLjbtm87AWcCOtguQhYLoVfvre+Gh3DFF89UARJxu3aW/Ee+
EjjyK7uP+vAe8ZeD8rGUxc3zY2B9BYaLPobyt4M73dgIGQXeUk9xr6CwwTlY0TmY98LfoFEg2p00
+ERj7Iw6zStJnRq7aEwAM7dpqxt0Jftq89rM1PdExG6JDVVrsb2D636fV/6I4Ndj3bjposPb2vOw
S6DYaAJRE01QRZ4MwuLx3ARZuc270qz8VFWg8nsXburCVsRQiHnH92pOQDcz2fcAT7HDMfVgT3t6
umoccqVhHmRVaLoM5MW73OBM9zNLsA7H4OsCiW5UEMRmxJIrcP4PrXXFB+uP514RJXDF8Hqse64W
XIH48y/POusGfgemEbuqpiH3w+J8TtaHp7ytThLWfA+LfrJePaTrz753bgKY+JNA00+srw/Twttx
F8tPrOefw/zXHcW3bXkAiLhoiC0jgJTPK7XUgLT8ACJHUbJapgAryw455RqUoHkfeAWVGUcjBYgw
+AtJSqAJ2Ix1MzV+GzNLLRjgCwj7KYxN8nYA2CAs4LDhrATw4FryQf5kIGTwXhT9CYuwTp6lJFQF
/IABnCB8c5PcshSNQC8+Wr6invLXFcDFCPCitARG0ZBDb5kMrBGCXg1Mo7e8xghwY/GJTEN/VImy
VAe0vA/AoTgq+kQC+8BBty8GoCMegBADMKQGIDIOIZaH1cszteyI6yk3dSxPslmypPrJmJTYLiMt
d9K4PqRi8dBxf79ZMiWv3VdVawe4rkDaxkIsFmfx0YlFo/e08js1nbb8RVVnWvp3HWbLEACMwK6V
CkAMt2QMByLjWVamt9QMQn2fruVoXAA1CJPh1raMDdLkTRxY7qaxBA564xR64WXqm/sVi0wCy+qA
RMk2wDsd4+fS0jxVsTwHdtJxAPoM8/XKsS2ELVVcBMUttThQY8Egbxgx6I3VMwjpfWPhoc5iRBsZ
ryILFq1mqZHdA2y0YZiNJwsgMZBIiJmcWBSSZPppcLk/zS6z+N4BK0g+MT6XV6qboUhC6YY9JqxP
Ns4VLLMZgbVr96ePNuF7DszGD0WIwbXKwU670ymft+jG9UfIBhsWkeTTTI9rUF43Pw27hRrsR7KD
VdmHVrPmYhdhUG4xfXk9O+I0OnFMZXVIoVfPBMLASP0ncDQ4IewYRydyAH93TelUHLrS+fSN85mb
4gMlBz5IqQ/GIWmL2dCrHbx1vMbJd2Va6+a7ruoOC6rKvecIL54RWcMgzV9K3a7YYTeLTGHtxeBO
MkaWccdXApg34OcCH3b/AYrWpfl9jXmWQLq4rsbgxu91nlRL6yI463zDx48qjnm41+IE9jTY9YO+
A6i+F0iMpMwPul2nnToxo9OnFbgAyPXqpZv1mOjmgVGT8oZ9a6Ph1mD5X8y3+qgwpo9Vc7vauX2S
eudikA8k/Y7D9XaOVJc0JS6BCkO/S8YdDjgIfnREyXaRZLcKQbC5h47PHkCn9gZbTQz2YpULRsva
ZKOecT2owgLx0B1GPmWtVSJ6jgmwkt77NoFPRGJtH1QChzMEDLjMLyMEDR00QSJbkrmQOpgKX1Fa
dqvy7oHvnHHnHgKPO/EAkQRrr0AuV82VclFqIaNU+XwGD/+MhSEvyuosDILL5OkraRUYVUWQ7okl
HiHPYGVgl7ikOW7Ao+l4pYti1ysPO5ug6JRW2uGEf4NNc7Vp+ANd9dFAAAIJhp0ivrmsOlwOCDRh
65TmV60bdrDZcBBCSHJYxdMB0lItvYuC1LRYzamw6hPf+LNQbQvlxNnSwmpUSCZ6KayJLV6xmSxR
oDVi1nYGoFQACGsbD5NVvEZHfAQKPUwIMSzoJ6hiWHiwL6JpurQDRLAB4lkjgGlKyGl1k5N91CqB
njOfcXOxBkvWHvlMThza8Z6X8hih2+rjpvehIm9rhKTEf9jknwEaa87+a4n2Tw+w+seZzP7yH2Yy
YDfUrvuLAhso/JNMCwEWGqndawDM4HdT2mf/y3XxiEzsM4n+Cin7FlLG/mDfx8YPQM/078i0QKT/
jCjD23Y8D+a3h3mM+3h1f7Sk/dIlajYtvS7bt2261vr1Dx/LP0n3UPcfTG/7eHYfGQsst4Ym/VcZ
eMmxsixnerlGljrzvP7L9BSynrhn4/yFlGA6irFKoT0MqUu6I0ChA8KE2RL0vb055V4qf98F44FM
oJChsNGp/0EaRPG96LKwUSfTXIMYKpsbBDNYffHXefBvkJSTFqtcIT5hwyArsZcK3YjZplg57KjL
Kf9SzLnyfUToUoPiBI2tan4Mnu27ENfNKGzeeHQK8iIa0qZRTb8vOOt3swsOm9ZYKYK8jIwLN7wJ
+oBkTTi+RGPhZ66HqE1PqboVWrmx78l5547oOJFFPa9j9YZG9MI8L8X6LHNRxTocmk4eum7e0hGL
DXLW7JHNuQpLwEDb1r0RRwE3ovqrrckN+EQJnWfbdgsauqKfHwLRxsTpj/4QvdUOQWh/Oc29I7EK
1tzpOjyJTaMl2mCqzvVpCIL33F1VDPHpUCCYs9TV+4yoOsQmOKYsPED+uyHYOMFAtZS594o49ila
gkM7sAvtsB5v9Narxt9S3vqAbYYDN0MQSxo9iWqbD1vd3GIZWg04FLumKue1HzxrnQmIm/Rxbtza
Rofg8270AbkpmZSTLrMlrI6mGXCICexpygXfY4cdaHlevy00ypQzwkctbM5iXncAKU4aJ21E12cq
/USV7JpP/HWat5u6ovdlix4Qezb2AV2vkPs9Sjj9hRbP5WrQkkTq0KzqUnrNA3dli2V4zbPXTU9u
HjzzfNnJESkjNK9Ej2+cztAi5wio7vQq8eaxlEDvCciJGmODwWQ45iz1a33pFbhihMd72M4d/qfh
BCEyyOOCB2+4C3aiEq9FDkFXT7PYkWXBZTN8GSkOIXoH6vdvy+i8EuI8TAEUihr4w6qjxGHNx1bn
d3XrbnFpikuN/T2gN3t0wCR4LBGtx+a7MimqAu1eC1PTRUaT9OWKuhKwq1BPHaYa65H02AvG+IOI
6MuCpTE7grgsaoO9e4R6cFxxJksf2illSNmgR2jK7F6HmMAW0OnnFbkqK/FOWdT0GDxolWdqQrph
9nhWobl1eFik/4e9M1mOG0mX7qv8L4A2BGYsfwA5JzOZHMRhAyNVFOZ5xtPfA9atKolSU9Z2t73r
si5WTgAi4nP343blW68gA4jKoRFDiSyNjvu77v3GzSaJ2FAc9dFprCPjWJWG7Nl8FY6alCTCJAC3
MeAtTwvNGtKHJK/amb0ETJ3kprAMpSUUT3bIwMUfQp5pq/rQtuO5hIGz47SsOUJlYCqUqtliaoxX
QdQdDRH0TpOU+UbM+saHRbCaR0U4nZaWEAqW4XYWpWcTdR6pQmouzGID1/chlc3Tl9pXX8wEYK8q
ruJQgBgTjF+mVDr6iUL4MBU6WUR9JCNXZLeF3kncqjDJHrokvxl6DiQ4gs4abjaeLG4da55qis4j
Kn4wK5MHItY8staXvFMDt+RYyzNqH1T+FvUbXzko5bk9YkLZhHp4JafyQ8LxWO3k/YAdaJOPybMW
+zoqdEuUwTfACsgjxtvIfC0HSXHneTEEasBG7hKRDes+UjeqyaGeELDlhtacrOYoqq9mKzmpSrlN
iESJymjctGmckeGAQ7rE45G3U4Tf4RM26l069feLMTpTMsJ76PQe7sxwNQ1tZvPM6YjAGcVzrrUS
z1/pW9XAoJy6OsW3D72tZnd4LtSU3Qx+5X7bx2G/ybVs2vDoDx/8ildQuvQuzzilCFbPfTfVmBTi
4JRjnSeQrVr4EpTQ0QrzTq9g/jgauiHexgZHgOb7a3L6d4Y/3Vm5Pj8CkoEf2hXNWu8C4ZjDuG45
9m9KuUdNmarCTflDB4G7e2SrzFACVDWpOSiCrEphu9X6nJ94KNeqlRFzzoonoy93ObOn0ZxWXcNJ
ZTL3STXdy2G86iPCHkUZ3nepQhCysg8ErftdIcW1V/gpO74O5k0py0+IsKqnjlr12Bml8EjQzMTV
udA55pVQqtVHZbTbW1/Rx7XVSbYbd/L0Z7SMyPOvw7cfBrILrRyaE1sNe/HyUuT74/KvZJmhWkGc
w1aJPXAuO2Zql6Fufkdv+vXraDrlNdCBf94EgDAiCxrmpyxNrxpDueepdG1l2TOPyxoOz+KVnNJt
P5bocsm2UcJjiOPIUvIDT6qj7jdObCeX0O9uyMmuVBiShH05fvlvRWdgvuIW0GbrZMjBy+cbmF++
c13hptQ0wE8yk/vvN0h61hXgsxMIRZiNg+lOjkG6FH+KGv/2Z7B/1MotoPWEn+F34Q3kO+JC//FV
iBGVU5YAcQPi0gBS13YMTjSQtBXrRt/rJL76R/BixSW3uQZteTdYw+LpLXlQqfJljrN1iNx26ULV
vs1ZlcjzniSZc4xWMG/SFSgPeAhPETnR0df5zhXuGyPDqjvZ+nyji/QlaVNXpEG0mQcG5I0wVmEa
JaukVb9KtQJKvQbqqVbIyprNULXCSxXWjHED5lZTaOyqWXnDdvUymsvwDKIuh7yraQZpboJH28pi
iK/ksMyYTHYh+ybAsKEdm56Igi9+J7K7CmYBQZXgqGeL0GaU7daAyN4XLHGixDwNY29VyspZl03A
qDN2FKGmR19+6bQ1U9odz8UnS2JmYw5iO8XaU7qAcfISN1WJKKCCjZ81th4Q6RPPDBjjjFK2rVsQ
kZkY953cvySREn6dUn0jG1Xmwc+9Ugq4mWpTrSO1sZ1OGW8yw0hPNvYgAYT2UJnNn8SDf3s5iF9e
D9yQwMDJ3gtA3T9eDz7TLGRfvT2ZQnlR7Sbz5rJPT4ZUNQ7P0+egwbBJQNoVxuhZUcpEV02v+Faw
jYWJuVWC5orph4MP80ovrEdVy8N1k+nVuutkbZfpCpJ/RC6qt3prJRdatiVlS8wOxIxH8pf9CA8i
GWIzNsrqNsg4pYuQycYM/95py8rJy2oNZwomg/FiEzBwewH/ts5Q8ZWJvfOEa7QVHk6riqS3lDj1
YDxi99wNvvIHKRDCfQOPATvdGvl459vx0SS0XGHbx6TKFYL/a1Ju9b6/SuLwtor0G+KBG2NqH60k
gZmWF/LKqDr2glW/ajpMkRBASLjHTIix73uYG18krgm3tNUnoUqPIuwrrwLeCONDXvczIoE0Fiuh
1RtZjnd23q8UjOGsRjCeEdUtC08GYjjiTsMyT6Y5be9I0p9s8i5NMb1gu/paqfVLbhorfeJ9djnA
4ORchOPRzI31UGheyODDjXLTVezokpRSsgM5toKcszJS38tKNjSFEXAu4WbsJfsyVO23yJTw9E+y
q3Uxca4ucY0mJEFAak8Y8KnUTaRiMrQEFn4tmBkmsENNuvCI2LNCd3ooitYJpOgadLIThMVaSaRD
xioeDgEmxfSpL5s1o7Ac4osGVoxVM/WHdcvyntdZ6XVShQUgkTYxVos5hv5sM8QeRDCQPuWhOyti
HQum+IN17VtiG+QtVszqmFs6u942BSFVDuV2Ss29FgyHUokrl7Emv00ZCSBsGM4AQUkNp4TUcGMV
2FVn5q4/XBs6aj4TXOuUjWtjWhfalkKEh1JGKs/kK0Ov69Xoa8c4hOmCqOcfSM9ikNEhXpvYNTdD
T3SbfcO2mNoGIom5rXt2IWaB1GJi8O39WvxmafvVk/u7O3Wxo3+/PiihPeEoTaBAse73zVWWj4A3
MeYO56S+EpxYPl+PfuRM/rlSfP96HyRUJQxzThc8GYriTYABHJkCH/PgcdC2n7/QQln9bjTw5ysZ
1JbQaEPUB+TAj59saNq+iuV+PM1iwvoQjUDBfeVObwJYSoXENYevCe6v7BRCFlfWEvkHCy9xmMAd
y4iLX0ZI3zCIX8ZctZxe7b5ACD4Xsnmbsn3j1OO2jXI7BkA58pYhbhs94wB7kMK0vAm6pF/pIWyx
TO8Oeiw7bCxWk5AHly3eJm9V8wHA6G05px6TlH2ntrtIVQ5zMO10oHkkRQ41yzY8n0OiwI7omMKF
lgsg4SEr61WU+rsBnnKcjhaj8exllifdBVr4VI12/aAsOBClUYPffKs/zlt+/lLJpX9/uUAtyaOa
xNzJGp/D+XWyfodw/M2P9mHhkKWUPXKQTKfIui1j26nU+99cFp+/wEfcLHUKiZwowXTSletIg0fd
ruRwcj9/keVb+Cc4/9e3ROiMLSlGBuPDpTeaDXA5jU8BbkRpv7ZDxp7kPhrN3/wayo/XuC4T7VCJ
sQmW2oV2KT680BRHuFvnEoiGI76yqHl36dr3pBVOXffByZ2HneH2x9cbYj9fxtVLuppeuaObrbr7
/AMvNW8/feLvbuv3N/pdNMTuI7u0Ax4jJLE82cVdftttsku4tle2m9ZrseF7XuOOc0gQrGyv7Ffa
Kf/6+btYLCc/vYvvb/kPNFn8BwBFCNueHsedsjKddm1fm84ZKE7obR5092h42cY+hetxm9/q2zvf
CzbjlueeM29ADTceozPP9mCbbMGCnkMnhMHvfSHzdZLdaaPv7B1q+7a+z9a3n7/1hfXw6Vv/sIOW
lAZFRIq4Lp3CKdfNW7ku74RXudAKvNAjSLvO9sXm+utx1e10lwN7vCe9vY9PWDddHyyk84fvfvn8
Xb2jjH++kP9+hhofVocIOHFtGryrcGc7oTtvoZ7f5VCBXBz9uMid2kVb3Finaqs8M0hbff76y+X7
88v/cx99eNrwqJGAMUzjSZ6LlTkMh1lKTn2Hw+zz11meKp+9zoenjhVZat/P6XRiTw1w+qs8bgfj
dSIvJLeMotafv9qvf+q/P9XHibKU8fDXq7iDPJ9w8rspg8v/7QU+nPnU0UoNI+MABRNBiZkD2qb3
+Sv85ocxlxvxu9sd+6CVmxM3WlGeGjwXpfI4d9ZvfpXffU8fHm6NSBGyzbg9jcuvMqekmmL3//Y5
PlxgHRmPLm+y6TT0IyriCT6rO2fXn7/Ib64u88NTyfADaWI4x2ow4t6y81WStucF9GpCBYjRUvvg
f2Wtf3sC++Xvo9vCFOgssr0wYr7/fSzYZ34Ztd1Jy77V8TpRQ4Z8m88/1i9/nu9e48NNk6LqSXCK
xpOOA1aSL1n2m6nC717gwyNxTrJRjYuqP8k8tBlGJ2r6myvsfX387Mb/cB1DULVgk3EdczZwKjfY
41y64ojg7ms3XAXnzskOn39rH2IFP+8Nlk/93a0jmP+JVglZox4ZDOc8Va8CXtsZXuA873rnGgMs
/4ejrzJXONZFcm7a1bKqXz9V1+qeUzvRFVzfzjZ3w83v3t4vF3LCnX9vXT5eOVE9yBS/tCdxXhZy
ySEQre1y4TrJRvMecmeP7+zwTX7lcFbfT4fBGX7z9FqgfZ8+jT/87r3UQMSwJ/YSHoQUDzuIginl
kHo39sk4qpvOe4L+4eRMbNf1ptxQzfObJ/Tv3sJ7Eva7H0kaO0nLh7I9SQfqs7D7OfEf+lp45qF7
G7flKjuaG6Ld3wB5uTQWnQMvfvvNdfKj7vjTdWJ+uE4SvMjQ77g06/W4BrHjRMuubpe4d/1u3O2i
ZdNyajPnQV4XXrYuN+Y1DWJetwp3MMye0988Kd87GX+6Vf653fUPWwFLstGGqKU9VSttY0AL9Mb1
vJ6PkICdr8GO3JZr7SD2OcVxdM37FVZBfqJ2k6xvI2/ZJPzv5uC/6apFxP5Uuv9/zhsN7b+Aiy1/
+ZduT4ZKt7FMo4xT+EqS6jvdXvzL0NDeTZMoFWZqLq2/vNQGRc/QLOS/A+N/W6mNxZrNvF03BIBO
of9n6ar3Re+fy2k5uSg6ixPue2qMiKh/eM40HVgJgNTSCSpGjId010f+4OSpkdPD1BbrxJxQzDXV
jcPsIlugYvoItW+oQApPbeGlcbuba9xzJaliF180rqVh8r2qsgZQk80rePovMKSfS7m6wtq1o4rD
OtK3V6+YKDt+SW2gXcNbBAdGzdbN+D7mqdSvBnVtvYmCtMylbZmyK3Qp3UHlf5BH8xvBoXEdD+Vt
Bk7QFJlYzfCanU4y5xXWpUetKzsvEqWH1j3Q2ldCxyikdY5HmL6EGgIEpHTNV5H0umwfzuYQeVRd
AfgZiL17/qg9l2kvTRdy0la/Tkcx0NZVNG1x1zHOKAHSCI0pM/CMohhsCkVrgiDNlK3goFHgxaa1
R/jGQB5fdzHLhE0rVFbgU+3k+I/WNN+IK9uOHzHtUNtT2t8rDWNDfxooGLBx2ElTcWuOiNwiU57j
tEEEwxBIGkj0bgNk0/CbZl/J+WulhGhCdHgyyWR+KEheZppyqZKA0W5o6t4wJXcyMu57gqcZSR2N
svaYa8UX4srYz+exOGJZmlzJtFfwQs5qgC6VFqdGNJusDtepbe5H3X+EioAfKlGnXYFfrss1eSc6
hr8hn3uFvU9xfYOUjpzOqsv7ebCCNtr3kcnUh6/PsYQvMZ5Ts7NvyXeplfbrrMRuZBvmQcsiMJXt
UEVfkgbn6YqZnoFBdyBdp0wXuQGjJRuMGJF1LcwC8m3QTxe/qhEWa/VMYg+VXdlWjXHRY3Pnp/Mm
6TuyKXPj9W1w11rZebT7jTIqOM/k3tUyfvmhdMJYp50hix/QmHG00fsxWF+AoGGRr5vt2AV3TP2P
9RDd1ln3GLViK0YoXHEalq5RIYDQFLcZ+0Ff0yqkLFLeETumfOAnJw3TxW8xanJf896kKdBXVKDp
W+JShPvJSc/6s1ITz89lEJVdejUH/g3D9XI36W1wVCWMDd3wmkv44Zq7umM8aVf2JQhjr2x6Rufz
vjbEF9mOBy8u4k0T1VtYYsyCASpETfKcdagwkknWuJ1MLPClF5ZBhJENEk41DS+2L2gQywZvNubT
IPdnKiEfQLgfikbyCrHAaPRXtZQNZuHx7RyE50FoD1WN50EXX9JKFitZgW4KrtyNEunky/YmzvJT
FxEdp+fytacLkVyxf7Shaztqnx7SlH9N2Ieh7VpnqLOdFXTHvs0P/JvzahxVdU8hRIs9ekiVtYig
YRkzrRA3oSx0BUkreIojZZXrOMhrXf42E+5Mov6psYf1YPeryeItqNZzSzFX1kG9Y4TrqaJz21bd
1kH5OJmMkJUM/wamxqOldDeWqJj9jQOyeq0+Rl29G5oaBb/3gSxqFzUOdtTGXBQC4e4091d6P5B+
13MK94io23W5RSrZRFbyECvJMZCbezMvZYcChJs21DylTK9CctaJ3D0kmXZbR/wWWdl/1TJuNbm+
Ai90pguw2wWT6BZXwzZVqkNlKzdcJPuiQ4cK6/YMP3uNg7XnquofM6Xy5lBL130jXxfpcJBscZDI
beN1lHbaROSl1tZtTcZsHrZDr3skBY/owJs2nS9tn7SOmVW4lurDWHLJWiS8sia9p3DiOSFyolX6
rq21t4Z6YCgRO6GGX/omutWt5o4xRQoYgAyYHu7M3npNMA2JrAP+R02Lr4A8a/N9PivcYWK4Covk
EOE+GlP11l6QjDhfHFFUshtjutf6aE07yFnPikNkWt/el+T/7k1kthH/fm/y/7OXP4r6Zz/h8lff
7UsWdimYUlqGLfCmP+xL2JRoxnv06z3H9de2BOapbMsqt9o7sPv7bjTrX4oAHiJjJiRKvuBv/hPG
zYeJF/sSmqFsmVIqBHPQ4tqHiUBRkmDRJ785y6l6lxTNrdLoB3bil2REJh6WwGEgO0MmtG08TTHL
PKFEf4kntmPn41dHWzSnAYcMKUZZwwsbloRZELkMDGWC9PWS77T5b+U89UkLlGJnB0BUyjC9rZe4
5JwXFtfpeCVVDLrwFeO3XeKVEkuhZy6Ry3RpaKxZtE4yeUy4qvqV2c/5MVbe9TgFGrMPR0pZkpwN
teLWEu40wpBNRp3fhfkSG1gSoHLd7CqUat9qg1WTCBLBWvZGe9MXmm9A6Sn6tiBQKi3JUpT8q3km
azrrmM1tAXoTe55bE0jN610sjmIJqYYvteq2drAtCj/whr4DELSkWpkVpWwVxsRTsEOvSsKvwwzL
jGbXPzpisdi6B5jcfCB8VruG6Owk4SUikyLNx45U7ahZzzop22KJ29qTju2KBG4d1NfREsnVeotU
2CjOiYFPJ5C7lbBQWhBZUHuDoNmZS7wXk+CNsgR+bZK/IwngJreos1hCwZEIxVpZvFSN2RMZNuC1
lX7ByXsJFPsJPshato7gaHZTF2mOXofAf3Ki5tju5ZlgcqVSwEVvLIxPm2YkgzqMVbBEmYNWVl2W
nodAIsJVROWmkuN9k5h35DZexBKKzib2ILC94j60vUIJEZcR/vFglltWRwU2dUXckM8yk7W2VTbM
iS9y+brU2vzW8gnZWzR4lklxnrX6a4RjYqf00jUX+ItdRAWbVwyHYSIecadf1TT6eJKlUVE3qG8k
6N96c5rWTYtmXTWWTyRDf81IZ7LBVELiaAA3o6G71RHlD5kl7/s4fipn+zBXgqZtti6AR47VNMFs
lwm1t4EvnCJhN183zamNZ26f/i4M/NcqNK0t/JgRg3t2CwiW/JnSPVSqSXdvi7irF3ua4qninoxs
bTX5zgj0+zqUwz0rNaCeeL7lvzkcq17v4cAUBcxvo3bfG236mmoiYS8/3khsWjZ8wxO+9tAUMUCF
GY9e0+T5vlE6BE6JRFM4RZWTNinJxrEpHgMZpFAehvV1bOg2dcSVN+aTwLqUfbFAvVDGi27Qx4SU
lQJkj1rmKz+NSYhHCZyoqVV2EEvJvMdGiMO028kziMnKYqkSON2oCNacylChji93qUURRhO3s1NU
+VZrQatLwHqKuSXjh65YwtvhTtNal8KbEcNKaHp20HitRuEtNTeepOnXcWBzMOjvySEe9LrbFyoj
Rq2+7U2ACHOTbUJKUCHLgLvPE3Hqx+4+KsAuwKS4zrTukoD1t5LxCjPuY+MDL08oXHSyIv5i9Mpe
G+Xt1DTsYJcgQ8fQHxCLSlxoPCZNtTLlulhnk9U4Sj1e+bV6SfIpXWEYXplKuVc6rHdT04GC95+j
QJxpfjtRVHddxSYgwr559TFVO10yP6Zho+Lws6wVrTzPTWbS1kHe32mV8q4ItcMolUuDLVcNzYRT
8kXtYn0baUZOumAJd4cFnVpL3Pu/SzhzAFY4hsX/fgl/KtJfDBaWv/l7ARf/IghtU3hhC8vGVPbd
Aq78i6tXBltu8nzjf/4zWFg6N3SA5Tq9PkLWv6eWQ+MUKt5aNEzQ5SzA/8kKDjXkh/Hh+woug5RZ
7IcmpCp7GS9+N7tr6yHOUyXGVdv6klNarWf69dK2F7qxwqZ8BkB1F/UiPSs0uN02nY83Xxbdtpt9
AZ0Ryc8uoFpVmnpaIgwgJzLKcMz4TZ0NuiQUmZBa1b/a3cAFOhXNKqnS8domGOhmGV4Zu/MLqM08
aTmRO/RLeX0UFmfaOpjyDnlwIwJIyB2mvVXQQzhqhLinxSzdpqnawfcCBcbZUJ2suwDi1JriKcXD
shmd02jMXM2wMdQbw9bmwMhmN7qvCAtfhcqUr8medTQSYeEQfAVnpts+JVGtva2gV5yDgTlqSyXa
dihNG0qGam85ZGK2CczHomEF1so4dehCOXbVtEls6WnAmuK0EEhtmGmEECiN6DQO9IG8UoJ+T8PO
oS+sL3ybV6z47ChavDskv0HUJeGz3msvo8GNy4L0EDC5qfU8XZVhwPwliG5bQBjgJiQDN5SggCEI
tslMmEAysjc1CFMwesbeqAlxtTMhX1uP8RNJOlBAf4C1ps+AotOYHrjytpD8k5ZOrxbpVXXBDGql
+oc/NddSA/47sTg51y2ujgpvjkoNFeD6+aQX/KRtOXocSemiV18VtX6Yh+Qr9UkY0kLQEul4NujH
dUwStRgFZbyNg7LDAInVogNWCOPwjFG7dZVM2+LgPxZjZq0K1BeHbPNTGcwXTdMOccXZTxqpaKM/
Dw8eIWrXAJxonYnvxeorFVv6tDOX6gUzDA6Sr83Unoga5JrOws4w5U1qWIU7C7O1NK2N2cfhaMc6
nesp6zEAMVNn66hk4sgED+RGT/DPl0XoBboVbSY9gW6O56mRZiJqTN7c3qoxlQTJ10opNeyPJDCj
bAIXHttran9jh55DvuSo8XdosEgj8HSwalmmiylzy6TmJs3zkSubZjQLGHKZZPJdHmJ09TVtKwqK
OcALDJivjIx41+DOmgzrf/LfpgkSmmTpu0TX7+rWf1ZIjrhmorqmaZ/IKafE/nTDyYaOYi46nSi7
1M6kQZnEW3XrliIy1mOt3fbUabl+qx8BkJeunU+EDSR9X6ddtBdTcai0VOyqgpRu0GJCUB8bKhOl
IVgPM+BqbYg2+O+jxAUpsGmmBILtFHpWlb6Gqb62ipJbndukLM2RLzZ7LsNmD/S/3CUSQJs0EuIc
DqXq+Z0U3pD8DfYklKkDsPxTX4EJj21jpcC4g0rWc533kID9crxM9DKCZilJskwzgQtF8bekXEnR
NYW2mQLf9mRskruyyg9BKJPRCDp13xjBvK9iIcFmwUBcVCU9zbSnz8m0l+TgsZQy9VqJsTny9Et2
UqTZbpiUe0ldsC6U6xlx+VSZcfCtyckChdzGFzOO3/A6tfCUbLWtnf+un+/rp/Lp+knrR/tWv00/
H4KXv/t7DZU5tWJaBz/9XvzBBP5v9pn4F7E54KvMGfU/5/Z/nYIZzjODNxn6aNzF/1BOdEqwaLpe
dF4eFKTx/pMFFGrsxwUUJ/1CUCOhp8m0bn0YzWdlqhXTEnbN1Llfl7JPYls2n0wr4MnWPSitcZ/M
F39iqlmJlVJZl64N7hl9Eu1FeHZLLfGqfLoyjnEgfVWH5D4jDYDLrY43RMhejZZC3WmgQS+Lt3KQ
A77virUuat8N+5hyKVk8S3lfvoo2h8oBOmkFtt9fz2G8HaLa2PpBvc/pG3ZiNXzI9IIaJ/tpllqy
QFZNgrZ6meLkYofqC2PKR1BFywlqvCIMvdQQJ4VXVgvyh1Ec05/+YZKtZ7qOokNe4kAVg87YsYzv
ky59JhkxM6VF3oIpujYs2qIq5blvspOdY30xzFs0BB6Uq8ouaqJfw30XRk9WJHFuKx6aWgr27IY9
u9HcLO9PIkaswwgwTtGJsl9mofjPKdj8oyjbM20oFSeE4WRzLuOcqOy0Yh1XLQeVghDObVBd1WSq
2+SJyXvl8BY3TTOzopOKAoHJQZdDqZvEinXva4wQ9abZ9gaFoIy+N7EvHbGEDNuiJWTsR91qKOKb
khXLoAZqrRkhPR1pykYh/aOWwsFrlYYhdS3TijuHgD27ayacZPxlA1c/yZMwp00rirR9mvN6aYqL
NaBWy6xf5XmKvEY2jsRlvKKJ2QL4tmN15nFo2cOU9ikrNc+IAcIWU0x+EMS0ZnomRdgOoFoDzKjO
kHmh3ATzslAOvQBwo3FYMxs8nFGbUatFodcUwcJss/nabs0XvZR2mIbbddcgByyyjcL8HvR145oo
OgbKzrRIPFoV3+SL6BPyy0moQDpqULXIQvIiEFWS2KVWcVWiHPUoSCFKUrlISmIRl+ZFZioWwWla
pKcEDQoeFSAz9jbdIk/Ni1AVoViRGlWh6Y3bbBGzSFWiF0wgi5MC5i6eajLQ3/g9DiTWzxpSR8JI
kgyDTJVu5pQ9cLaJsWXM+JKk6KFlnFksc82ZASdIgSPO9p2yTD5TRqBY4F/jJtjZYbChEzd1DIal
A0PTspM48Rk7OS/2HUPVgt6oRA7OEsPWnKGrkbAjTefhqDGOVbviqlvms2UyXlKQAKMfwc0xvJxB
bmkXO8FgV2fAWwWMwDQmvvWkHkpGwAOjYKqp03VHRNMHED8s0+JGm9cR4+NymSOTotjXDJb1qDww
Nd/ijez4hMyeY4bQGsPooDTPUHq/NsuU2gqU26ZoHqh4OPhjfAUx0QuD6SYnQIYOFD4kKQ3jQ/QQ
MADXg2KbGZGFeEGJ3TIjj8z2Sl2m5kSTLxpjdALJl2yZqwdy5YYM2ntbfpSXyTvFr6lnM4wngnns
aogp8zKnz+fssWNwb3Z0T3BmUNi7uR2jfTU1nimg2wzSsII/sE6RAPK62zaLJNDgUwJNupob/zF6
lw3MdwlBWdSE9F1YsBaNYVrUBmnRHWojPdgIEZpNa9miTEDBO1BMftaQLPxFu4iL4GpY1AyqfV/7
Rd+Q6pRkjL2pCvvEzANwB5GwbNFEIsSRSHTHEbFERRbBx3E7Lz+haumvJbJKwVRQRWaB0fgwIruA
sDrJyQj+gGqyGmFGWRSaaNFq4AmRNuC3qIW+zhc9p7LYAyHwTHYG2wjJJ0H6SXIqNhvEIA6E+wpx
KEQkAnpzAQAiXEW7w1EHHGN+jVPzdl7UpXzRmWQEp5K2P2lRoPyKsDKSlCiNjYlEpS1aVdwa2mpY
9Cug29zLwVuyKFvmonFNiF1iUb2EYHopI4SZiyLGRVG6yqKSGYG8bZDNGuSzChltQk7zkdWgg9Bk
tJyb2Pzxme+CKX1oqxBHhXadLOFNFDolXmAjhGR1rTgPaHjRIuZZRr+VUPfa2QKkYlzmVCDr2Hw1
4iwtciDR3AvzzttkEQplkS85FCgvvRgupWpcNe+6InIqGmO3yI36u/Loo0EquR9RoYIsGVZseyuo
yJFFRDGhcysymSfWfCTGa9QcTxszyG2SZ7rlZG2fr2aJIZZCnQH1C/3o9F322kPiZToSr1lhKLHj
OO6VRDdpRGVYt1SwS5E30o4OmMvu9/jHM6eSpm85w2ASFylEvjxx1bgWjgFhaaWn6UNfBArISKP2
zNDKAV82puRkscEhJQuOA9Pbc16J9jEWJkwpGBISFKZBvzRDPu+BOpB9GlLNwrOSaWJVDnjeZyEd
B7Xec669VqxkrY2gBJX5S1b5NwGx2K6ixdykfFBJLYIdonr0EchdMxhWtSDb2SfjpiPkg/7bvvZx
5woa9tDVr/phYpEhsUu2huC+Q+rpjrji5Flm+MKT9Yus1lt/CM+yPr75sXogik5HfBituJAKt5HU
R8A/B+oQrvwoVWl8yRB/kzVN41ROsUTX0Ko9o/bPMcVdVPrecGyDM5LNuzIwjvoYbUU9O0FS7ghq
E1qTE4+6bwD3sQqENbttRxaMYpo8uJ53eQrDJMPjzxlmJ0Njoq7EZSuEYFztmHdtpCTcBWZ1ICj/
wNTjkOaCznFWWtVaJ1b5laKnVZwEl9FnpzDp5Wr2w1UNfUiv2rcstI9SnrsNF904dofOTr8aqgyt
3M4ZpUc3tRKvDCUiiE5fm5oZ23CUb5sEHFubS5KL6O9MyOgzxCwf3qbtx7LT2c26jcU265TH3tKg
W4lxrUuFq5rSxNaiWroEK57uySPzDDcQOpInDgI7YbQCJnonlfEX2/Y3qjVfM93GmtiKu2lgcBuX
DwW9dh4YRowIffSHXxcMeuOhW9GkeIJ3cPID9ZmRBoHtuCTkZTIviXZ2JNvrIPAPfTK/lZN+aksA
CDzf26OhcLEExaATyzExRk2lWPmTYZ0LQd+jxoE3tQxAvPIl1aRj2o6zKwXqummk2vH1kLF/IwPV
n4wnfYinW5snjcdY4DiCVoHaWzyM+nwpJeNJUWIfDFr1KDOcxjPQrZOmT9284VNbvtjay6OnsjCb
F3a4DcBgunqZXJXUXieBNJ8Jsx9KUFNUY5MnqeqM5iMiK9VU5Z7GP+G29URPli0ayw3o/B2ELHKL
bXecYXY7pa49jkvIMJYJsdcjM45q0k4iif6HvTPbjhPptvWr7BegBk3Q3SbZqkv1lnzDkGSJvg0g
gKffH3a5Sm7KdbzPbV3+f1lCmUBErLXmnN9FBpwbhzGN6HiWZ3XYOkSnWVhE8uhEteGVL/NHPSE1
dHndHQsYpE/6/hajtvXoxd1NWYsruHjJmW+V2LbqQ1Trt2bEiaaydWJye8Bc1VovsrMm0ne9K9pV
ZBdvRO6hdLFMTNfebQZdM4FYlYG3G3K1MAi6h8lorv2xQfFTuxepEV0UbrrNXTGdlmN63+T+oxit
a4Z01altpeWmjxzcYJ14nAv/4GPOCVI9gSk28Is1InErxvbruiR+Ls0JRZRlze4YiUK3bkYjNSkj
2laj0M4nYTJCsRxtYxpJSIz7u44pU+0pqsr3SGBKse8EjCilHHxH7PE+ntvvCigz0fXRNMvkmNY1
Es9zSUqhL25+fZFv25yLPnC5iGMIh+gqKDtLFfeuzZmFY2tpUia4tw9aea7DB1jiKdTtry9DJfrj
Z3EXU8XStNU/d1vfXSakE0wVoHNwN99UdadZv234WfJVDLiYZGsaGF+//RjSn0iYdIr8WCoeNCDJ
T7/997tMmvmG+KJsxNDf/n46rcyZ7KY4etQd9qXt/4tI+UdxN7fh3ffz3d8vnIyoXZbSoyh2WhFk
xrYliQXv8Ctxn7/+KD+5FFY2RwflYtNI978bTeceMcRMTbMjFsS+DTp9hRc5EkQ6BbjZfn2t5c/+
W573+en65rYsj/i7264bSYEILs+PtRXAk7Opu7o1a+o0bH99oZ99qPf3/7sPVbpQjnvvy4UITCgZ
CcZb9pFlK67/5Vn7yXvp+gbyRY/d0TK/NylZdmlWbLzlUVrbkAz7cWOHL7/+OD95Xd5f4vvHbZY2
ZyVbL4+l95SGj0L7PzzOZNsD//CJ4bE/927e3Ze0ye1OaGZ5TFkBLZdZ3v9h8YL4Ssot3R/CG5cZ
zvs7T7Yi53vHYJTsPin3Akw4Xf1/Wbt+dtN5iF2obdYCbkMe8v4aPojlEiMxae4c/KZgIYjaVwM9
d9Cv1r88yT+5lqfzMVCJkBpK/+nbawHqosmW2uUxXmrqTUJez7RxGxiRO/P6883/T/VjsGr+88gQ
rPszbaHux5bn8nN/tTzJ/dId3XIs90tM87uWp/hDoOwB1KdbwvhMsPqz5SnAXiEHshcXi44yZ+mh
/pntLPQ/dH1BEy+/Veff+L/T9fx2aWBgSeopKdGewb6KLImg6G+eyK6fVIP+T12STBPRnpmuK7l7
96X85FTAdsYvebeoAn9GXoS6FkEOSRl83m8vgvzXStNM1peW8lNmScKWGQQfyyyty1hHm4FU2Bmz
q7lKHO+CNoD70EaumV15uk0atF6M5onp1IEcq0ODSz8BduVYCQk4xrTqEb9OU34Z2hrhmNphkv5e
a6qbTifFcorRKTfu9ZjIfTg1CPtwqKMxN9a2aE60Gn6dlz3nU/akwYDp6/qQ5ukDVAEjmJOY1qTc
eGbOAZKkGWNs39re3dVEzKzzRiBBbARjRwjDtCDVvhnozfUu6mhv31gy4OM9RI5+0H0mVJZRn0AL
fM2lH68QO6/IDXkNCftCEQH/p9JxMzey3cKUPyMTUK29srXIXjCRxLj685IFZQnSzAxR3iI5PglN
864dmRXSY0HliKEqntSLdMTJJNpy26T1eRmPilQnF25oEtpBWLVIIQnkdQXynmiyzouIXm4nratc
QTSah/5BS63trFz2BxNokWd2b6gWaBYlZrVym+qyrMSpq1qxqYE30Jts0r2jk+ZRd4QgjSk8nqQ2
SfgdmAeJev5g0K6zuJ2rqteubUV8bWHmt6rwSXn0skf6B7Q4mCz5pHBe5J0ygljLTqRGboFuNMz8
vOgs6l5wQ23BIQVJocxAjI0M/Lz8EM6DCMLGK9dVRG3o9e26g6JFdtYLpnf8ORPVtCtePFkw3kqT
N6+gBRwJurNN5zNjdt5EogK9SV6ThsBnQ5JwYKJvQnAcVFFxOZjy2UhTPWiXSCQrKw/EqhRrMXTb
xCPmtbdSdM2ygwFGX4rYtf6y97W7IQK1peUdqPq43RgivonGrllXdISCMrQ2uSAOYYhc0NPcP99L
b0xrIZDQO0Qx/SHT6W0nk/OWkuNtG9lCFTAtxD0ZOABCQs6h9rRBlCZ1wLpyF03NTSlsVKMZ4Xm5
667jKlY8rPRxKd9J62jAQSi+D9eFgeyEt86go5xPy1dhKGc7tPpdFuV3MgFUMGpeAmMSKrWrvXWa
96h5E5QHUHCYtxCDj2Hlzxt3dipz01lw1GomrzmZAS3BVzXfhg/6srm1I0WeiUPcR+3n2V3GRnSw
5zG9dCx12zRIs+f6tUDmlGR1Duuj/mR0DWW8m0SbvvOSbaY6cjmT9IMQ3Tp3oOxJ5770N+NuIkD8
rEBBl2jaddunfrFSKfFz67BoaS+QfKG59BlaHw64zG17NfP8Rla9GyuYd9IuArfFwOSS3cu7uSAt
LrABPMSe/ZroI7tjTvtdkKVbkBwyxCSse+IJWxT66QReSP8YQXBf1pzrtjQ2iBivKxKGwY5dT5ML
pzS6NzPy7DwbObd+6itSe11EfQTrzrLbkp4eoOX51A+YIWI3XWdkIG4KZPoZ6khXtsigPHvb1sOF
u3QmG2LsrXlex4mtVpWPUC0llDTUtOPUtbgJ/GwTmvJVotAym/GDJl/tnidxcNytJVK3CMJS0YX2
Q5WUxFBNmrbRh8m9d6Nh3DVNawZphIvA9uquvsgs66GoBCCNGZnTUEY6LQ7WLXr3oga3Rab9jmF0
C/UbE4FnFfcZKUfIMR+Uyu9loz3qBXIovbfnSza8ZtvmzVNjGoe4tT6NoXdsiBD2cz9alwUtMZuw
xnXSDLjY0jzZFtS2t6LwpvOoiG+SKHpOTcClimnUaTtP7qYuOuSEpT4FoosfS5O7qOJbnNrQBSzt
pB/kQ29U842nEdMcUiHS0G/olyXsPYGfsQaAfHXWsq/pOZDtektfalpPE7C2qEUexlsuP4S+7Nei
c4s9b7O3bvKO+PaBsDOjU+R+tzR7QMbtVKnHlPO1jzgOlLKWJ/Ze5b6x8JIvofFcS0EKtGPs0kFA
5dZCtInkSM6OcVvb1UNrjDeR3ToHX/QPC0RuRR5MePHrbfe7SmbZdFEpIQRzPNRAwKO+3XQdQAmm
Zzb9ZeVB/DCOqXfr8FcT2g2N6cOvr/XtKYJjimngnDRomzM1xX27VAfvTueShOLOVFJdeuEmzO6b
iVCr+/+/Syx/wrtLqLzJc9Xn6rLmxUQkS9/5o6j/5Xz+088BM4O4V4cz1nLqen8RGWfZmAKWv7Ta
2wY/n4Z07/Drz/HjbeGreneJ7+q+DkRFZIhRXQrvpmi2c9HRFz6W7lM6/cuVvisAvtyUd1da/pJ3
3xgZ83bhgPO5RG+xMkoniM2TvjhXxOkUJzPWzl9/sOUP//aQhypOR+tm6ZblI/759nJdlJLsycDu
Mm8ejCW3hxD/+HQqHj5f5r9aY0mo++daY9V33euPhcbyQ38VGgZIcDiIlAzU+KbDDfpLW2Hyn9D1
k1bnUogssWRfCw39DyoQWjn+FxfBkiT4FSLj/0Hwr0tdQLlNT8//rcDiz8bLdw/Iok9cujguZSde
ByGWv+/98zjUo7TLKLaOchR6MBOuCNiV8ODU4qDrNFuoFFiMuukD4xBrLSPx0lrwVpC+rm2dbnFK
hBQQMrJpoXytSp0pWqq3K6Ys/XqUw8XYOnINSaUio6N/nvzyMeY8MRX5dSbSXTl1J6ZlXjc1FoS0
YQyLlVAy5TPPyiKzCd5y72TmkypJG2A/q/BurjCpRcvhtZqZxo/F0Y6sI2emjd9UJ27eIOSa8VcS
ThWQawkPNx53UTZvTK9+E3UMQCOyT4g63NVT++wl08qX8/0oi2qVmRCgLJMiyBFFubbqMNBH1IZu
Hd8ro/9IQpNAxhTvzb4qV2SNQwCPLVgayMEZU1oXWdGcIA1gvNS2b81Au37UKgTduXdMAMVAy2iO
qT3UJ2PRQQZJMCW4BdG+WdxGgc8U8kI6lY4WoOew2Yj5zYPgejEI92VO+HJpzsdXZjiRWSPbV4YE
/nla5Qfb19Aom/WECkJ6R4ksE9yY4q4xqF61EUhJsguY3Ua0s6ihnF2yoCcdMjoBDLjRlR5ZBhgG
EJVNlOR4PIjitxT7X7KgLPUpT/fWgrfUFtBluiAvCRteWQ4QTHvBYRYLGNMYJxCZCyyTYXyIng28
Rlt05q6ryCQroWsyhDydoW1mpXHoFvxmUnhvtLudFWcisdEWSOe04DoJDkbv+RnhucA8GwHW020b
f9ctqM+U4MSdv+A/iwgQqJ4YyTV8Dm/X12BCUfui4lnQoeASYSxYlnaVL2DRYuaTNgtsNAGyuPUW
AGk6KW81LVBSrSDJgJFrcoJORe0iM76dTHnZ93q5iTlur6qupuvA8SWJicudFvhp7UuL3EUArNO8
fEWJWX5U0k7vSoIcVhLj337qS/DTYwQLNCwBVZNBvYrrOWTi4fIdt1q/9xTHtlgJPDpun3zKFnau
nrohtUhByiPZxr2db8KwxARQODB7kPqsUGRRCArMfxqxcoTAFnngIFa6mo3xKh2J9VRFxlAjRWuS
m/lFhkxsT47rW1fOzyh04i0jKUA1fo7vzhitwFqELm3jwArCpuho7rCDwyOuTa2/T/yqIwaw60eY
k+aIBJdE1RfFX4WeAMFQjEpXenGzIy/olgB0YzvGkRPog39SFmQZKzUZQIv6AwjliboZExLspU1S
lhqyA32fWNbdgPsgkFF8WzTpiZuWl4paQNPcc2l/DF3ztK+c4QHXzqtyurNRaBq0XCNde6pXZ710
y73vM45P0E8y6tTPTK4W1/HpMIg3dK0msD7yHJVurAbfvZ89EDlJityxk8Un6cpoFRbFoUqnK9tf
UtCTAszJYC0n4mqXJQuRaYjtNQQgZtoJZo2Wf15Ksw5cadlbaowFHlEcey26ycfwo171j7VgefD0
eli7WXuaKONpzLDyyoyafJBVtDWAcRmJBa5JLBxfEkWAQxRYQIZz6akPPXK8tauJS390ARQUbnnw
bJt/2VEn9lmOEqSrTkFY73NvKAMIUdtUr5pj4ndkQuO6ROHrr6FZvEpqvpU9UIzFpvOYhX0Be6cc
z0uywCrhkvRsP+RhYR+SggC3dn7GW92u+mrc86HzbYyTe0VaNhWfexGnrDI+qXQmUcxIsgmkrgwa
O86ejtUCEYecmCzxy8UZOcBUBkn+3KHUckvrgmTTnSaaXUQUMPcUyobB/7afYi9JApn0bzJxOaao
jojS6dCRFryBhB6AMb8KKcbYC5bA1Ok07vKrgqR1I4lv8yzaxE6JMgbkT18ktznJzb3pgDAOJf7S
CeaJB+RikdbIkUGzSQMIRElfTiv2MW3aSc+UHratjILUKa/1hDbAf2ejL9JTTiX/fDa6zJ9eXtsf
D0fLnOOvw9HSNTWRT38Rl+rvD0f0Wj0OJBbYVZtB3N+HI8vHoeFYgmOtT7teXzybXw9HODMNg+Hg
0mDHfcm56Xfsl98Fx34+HGEp8BBWk0LBGfq7ycAw4bDshKvABAxMrbvsQzVM1241DBsq5mNhNOlL
lQwlnSHr1uqsNBgsLbxhtP+mxfoWeaxYzRbJsRF4Hb3Mkcm46GHILHxuIxTsY84igYzjWmAJ3ukY
PQjdDM+9gqcZo+ZzbyU3zjB/iJmBID3pYF7VIhiruNhnbn1i1bLgN8Y0Mv1yO+fmDddaq46lvVU9
Kac9K2/qIRAMZ+e8y/w7ppLIybLoUyq9c8G0XRfjMY7kvnJpKQyIhsxY17eCBDLq0eFyNGl4MLxy
Vq7JEaIg0z2MTDAKTWA1fXqAVZysVE0cAOT3rd8t9hNUYZt+qq2NlYU7J/ucplv4+7AWtwTZr4bJ
hy9lbfpa4uRq7YQG4nSYjVQEXcl2z1jx3vY/gYrDt4YdTBYn7tA99PqcBHXKSywsMBT9FKIsHEg+
tsfpddBJ7DDcrWtRgvp6fB8Z5EsvSCXyFegctUwmk3mfmu5RJe6FKyIYb+19pdnPCG9PgRajbIHA
YBFZIY1DH2ZX5oRIMrKda49vKCS9YaVV7Vbl+UUr/Gsn0Z+zEUvCqPvGytaBCfiuuitM8Zgy2jVr
F7vnUIpt3RtyxRJ+alDpA3wFeTPrOFTYM1WZns5WeFeP7QXayNOoxYwh8/wVIM7HcdBuawvxXDxe
d76z1R3todfSF9BY9sq2pyFo68hdzYu8i8D1NzyTN3qvJZyW/HNu05lKXWQbmEXFG7I0GlJ8HNXP
W9jHcg1s4KZCv+ykXrXSI9qzKSnTbVl9tErn0SrkFJTT+CR6xfNlIMukKY14rKvOjCGHRzd/8FuL
niu0aSN3Tnpn2ldO92nQ6MKZsXVLqukuShLCS8PmkpBR3CqoT9dUNXCNNHzKWkw+22R5dJT97D7t
+JLmEuKcHUuixwvzunPqjV8X8KOK1t/IrqxPwkhFFxy9Oaw/csyHgGw9EnKKbLfR93GE6mnuxB04
2vhqUq1/CDOabJUrR9z1SNr0XomgbwzSqvoYIZZWv6GQ7nwEY00HfjcO02nTFVkz3w02EEG2zNEj
ojoKM3FDh5gxAlKc+0Sk1UYY/Y1O0DfWQIEvSJAroJA9e2m6dkt/N9UKTyQdh3Wn2vwEMYu7KfBW
0VOwHqvBTjfzzOuWxzzSpcKKHQOdSqj3Ai0p1pHnjzdeDXsO089xjOdP5sI2bCJvDU5vq3NSJG6E
CcqIPrwEGbbOvAihinsxCrFCOR7M5Fckdrmlf0qihoc4tSPO1aOgQ3iWj9VlnvTbeuAEPGsS0S/a
am3oTkRcRhd5Nt5lwrnh2zV2HHMvZNpejk1/52egZEi+DqJQPTPSuMd/+VDoLsOOkFzIBV7XAIxc
hLD3dswspZrxuKH3u1Dh4K9Khfcji/MzXc07/l/2fzRTq6azH9Er1Suz0Tatlb1Nc3NXp+593STn
eSueWwk7RS/co9P5J05PGSSaGMxygwd66iIt0EPjWR/Ta9Ltz7h5DWitGRxL5t4VA1yWObe6gHBl
WGIokQjREGvfxgaTZjT/O16miVfPnfmcMZZZZIuc8LvrtGcVMI0T0kxOw747y2y6+5TxiPqVw6ho
KHyIh0W+6l0vXQuOR3TYuldtAR9WfoMzrPdx5db6RRn6BKDm/bQ30coRbfKkTcVZnM132mSZTASm
F41k4JupHsegVYibpWAgM/lLpHrzQlGN9gxEGXiv8o4Bx2lc1y/J7HZBZOrF7VhiFyzNO9fs6SvX
3I3cDbeA5vS1F3osG+rgFnW4Dp2eUQC7Q929+KYSMG9ynjVkqcpGth2Bg2x1Y0Iqlkclgk1UdTLs
pP/RLGTnfklk/69bZDJD/ecT0Xn1qXr5yYGIH/p6IAI5zNjX9D0OPSTVLzPZv7pFHIhsF3SCyZkI
Nybd3K/dIjw6PhIMBAzMnd97cRhY45uhw0Tqou5BMDZ+5zwkvp0YcxwCqwVjD9EKtlr6VbS53veK
mqoRrCZpfMnWD9moyRQbju0eDYIIsBtEWqjNm6yuFOdvGvq6v+ZIL0J4UCQrbD0d98GNcozIf1Oe
3LdaaYVPOPVS8q1VmWunfGgZnhgUGcYmmjWNMU1Wgj9kU4vrATOsOSJfnO05p6yVPlYVFNjuUlBN
jsO5v7N8SnUUsS7vd5s08Z42CDPiPLWZFI5ua2MXaIFLloy5Vk6j8vYYibwnMMualLuJPL3C148C
U5+7Xnu1KaZ2/xUDn4sBna78Pz/6AQ2G9ul/gkp2Tz++AcvPfn0DTPzcyC5oVi8gFbQP794A/Nwo
M5BYoDT8fLj/+gZY3h/oqJBQ2abpYvheqoWvJYFLSUBlDA3E/pzW8lslAdFz3zTUl5IAPxwCR5qm
i+Lx8zvyrn/vF+4M3MAejvkA2yIM2qbST8hFE0T9VMy0kKHfTSlnZHfUzrwSum1qE7KlUmS9pQbi
qEtvx6g7zbzxZtDHsykkvKSOHXy4yiM7KJlP/KS7V6TAuoV1gIuIKTmsVo0ngcWPJ07NyH0smkMy
5xzI6UipkOSF0PXHHczENwA0sIskMlY9yeDjJEhe20VCPXtQPdIUZHFOQe/L+HFy8BLLXEwbegbF
Wm/rW+GQTCF6UEc2GnGLdzgARMQgDLxtW4YfmKbhxXJIWlkYmol6diBPpyFsD9twX0hTIK3OSR6c
ZpQrx3UOFkP7HtsAh2fzwYnEznPrebGAcTZpeSclpAyHWCZs23s5FgXEoaFd0Z98nqrwuejGo17h
LmN494ioOgkKke2YBh1opCH8H1W7bgeaEF5Uf4p0jmGjUT7UmMMZIdO/Yed+dUJzvpDwi5PahnBg
J2A1bBPJSeRstNIzrk36uGtRhRh1kJwSYTHip1HZqWE3w6PnDwg++qplW2eQPgs3WWTe1TafLAax
MH42XhzrePRnYrmhnp1j3xvXWTGw3hGusg5z1IMdT/OqlVlMC7VqN5MO6qvUZXKa6BVx1b7qbkx7
mO8J1okxNy7IPJnr58SOuAg/suyxaonAoPHkPGD2K65lazSXMUr5g2e041nj42ccprxCjtO09ASF
SM9CVdbhRqtGfERUhoRS6eHziBfQWytbaw6lqV9llW9sYmzDd/rEF78LPdP5CKg8ehNeDhcYbdIK
nmG/yTwvmAjbWsm0XsKPsVXIlqhNaZ5308y3rvCyR2eybB51Kf1Aa/qLNi7VPgy7ceuCPWCFrfyt
ayOnEGN9ITqz2zYF4Vdu220abEZhSG83yxPsvxaDBmfwwdgLWMSVgfrBBT26rXqEARszucGIUdM7
c7LzivzIU1rFw71feN6B3L1+FWt6uNO8csY90b6NZqjtizpdLyCqLwrO/84xi+Dsnxfz8ycUST+u
4ssP/bWKm39w7OC84nms1+byn/46x1h/6KbFk0QvFdHoMgH/8xzDKk7zjbOK8CieYHuy9v+9ii9i
OHo+lu0s6KjfOshgbv5hFWf5ZvWm98RfwS/89iTjkbXlOJo+H+FV3jcWqTs5SlyU/6BgjJm0n8bZ
GeQW2RNG1NG/R14QUUGiYSl85zb1xLlVdYciTTdIJUK5dt0CIUyyvEqgoI1NxdsVaURRdSqJfLKm
Uu3ZBGnH021gaTgFn0KKh734zZwcciQMw2RT9Gl/pZeY+KFw3agM85s3TEffzhkklda6jol/bMbq
dpq0e7QRdxaAvJVukkWut+rgaNMxTrwTA23ZFMuXFvGqnRG+GRHBV6fmJf2Qe3OQtJY6a0FNZOdD
3SKOC8u3qSVSKAZFQ/BOtDZbUJS2OR4Bij41eTqu7cHq11MVfwJ9N687Hfqgjz0j0jvs0hVhVZnr
uCRuaGI6qLECaq6iU6MHysw20htQwEkDJQDCDYYiRopmDqftUH+Idf9RE2ANvZzEHppHnY1+JZln
MqLmO7JTtkNv1DgH1aaoqzdTN9YQP6/9vh5WJBKf1VFB5N5EWGZ/qlXDm97aE3kFE4QgEs3ZTCnn
NA0/ipVnpGJqiLNiJyBT1FyHpt5jeYm9oznVUzBPTRYMHQCvmHSyzqdzUmHnWBX6pG1gJM1BCesk
wF3xAjXypLSMadct/iM5GkHpmQdosPu+b49hTpKFpSfTedy0DYYLx+mLXWcjUoMoXByINgiktM+7
kchQqzJhb5cDM7PwOUOLgpdHY/8d12k5PuEvIcABbX2VsxhW9N9UPNAssLQnvUUWCo3HorFioZHz
X6cs886RrMKp1GW/NfvYOcuVRdFXtjfgWcWF2eHwNQhKwcnmp+sZn2g8YDCSDoT7fHDXXlEYu3Jx
Lec8/8RXejsGEAfiH+6J8dnrvXmvhs4Ioljq606axoVVm+lZXSL8inyHrcRGvxAOKdOZkXYe0shw
N6GAv6hHy7xCrujuk2zY+QKekYpOCpD0mJDMJ4+CZ01gU3J08YMGdH23k1ds+07idJ5o3tuqfJ4k
bpsheagibcW5PNtEMfczzaf8yFibiVrx5aj+/5paT6qQYLWxEdAQcoAW97vJeG3R880JlDzmBR2R
TzYRssXh3bp5+UWH8QtrznIJKjd62fRJMZ18Pmy+O0xOdTTKNIHgmMnnPruc6tvyT0fIf3uUwcn8
n/eoQzn9JDhq+ZmvW5RhEztNMYvq4SsT+usWZTBG8BlMWKgivkgs/tqiXBTgwjdZzSxKFAYUf29R
S+4FWuo/gyQJvvidWhsf4XdbFEnYbIXLTslfYaH1+HaLssA2gVp1OygQTrytqhyfbFWgk72azGEe
0Fr6MW39jYgHPYbiMGRqYxudyeZjkb4E2GlKrPy08ZJmOjIlxv9A7IGyW4iqo9Mw07Pz2NoZLspV
YyVEnsgrItpwwK+10K/Kj3Pr9OLS7Xu/Ldcuk0zCz2xbSeKcYJrJJ3fuWlbqzgldqQfj2A4E7zBb
bneprH2WPx2vKPIPsliVuGtIsMlg662avkLYIbIU2XSjhlMi9qat6SXApfKsvzacTD3rpW3XB1im
0fMg2nGb43o847xXIdOtwotUY4UYtDTeU58V2cpT1nSFA5usxr5S51npKsIthg7+c/1W0WtYkv3M
9olBIyjWTph9EIe2eYjttLs1VVMEfIP2izfn/m6Ic4W6mZFwNSe7XBNY/mYd+6YV0Ujo9VFgOmQK
YXeddsBtN120+sK06FO5FbWBxY6JhUHKr2E9c5u6fQO2HohuTeVE+9v8aM31fBnPc1oiOOnN5wz9
K/5iEhOmLJUPli0JJ2G+dVmCMFrPXtEf+z574SstDw2r7I0hEz3Ha6gzwVGJTwOmii/gXUbraLKT
C5u48Z3PZH+Tzr53MQP7gzVdoracCjASVjS9EBqen9kqlPd9UfVb6aeYcrXEJAjXyOeVE5PuNPls
58bYOFeInbUtWmx5aSVWve4A3pzi2BlOpcxOwoncgMnTvG1jT+ObEnG+9+oiOhkrQn/IIHG18yTE
jV8kMkcDNOXI8rveIaHRK3d1xBBcKJ6i0W5pcs+mH57krebcI9n+UOmxeWZqXn3kzw+3GrHB57Iy
l0DfVj9Oczzi5lbpIUqgDVZalyIlrqfruCUgY5Cq2UxJPxJqNodb2UgZrT8vKP+trMsY9p9X1vVr
/j8XFLyvP1YAyw9+XV5N6w9Kfl93FmGlwyj3XQUgkLAxoEWl4mMgX1ooXzuZKOJ4bm2dHXeZ7y5N
zj8rAFqZLMdsxEjorKWm+K3ldTnf/y2LXAw2uNUWEyaVhiW+eGPebbzQGVOZzyUvGTIHPUvO3IiU
geHfgMBfWqJ/X+izBpcdhiGg5QOk/QHVqwH5RvWTqUsOGtmhi3RPbOy553UAK16ZhNNrykXL0FVH
GCNnTVbTyocMWxOAGqgi7TZZa2Rw7m1/TQWtB9bEyEuzcdGEqn1Qsibmz4tbToXI1WKZ39RcMCBt
+5LJQQkMm9AiryEn29MGOjoorZBCeacN5QeuH9JKDTkzEXGQeGXlNnSGLTVTt+6xDKxlNqLXER80
zyUJoPdXfMwHQhkqaiL7xjKta60YLzQNh3uiMzpQyD8czz+0/sDQp4joIBh3YeQRhs9gZW3GNGz7
obuytXmrRP/B99pXM3I/RsX02M5kb2c9JNp8ArbZhqeOWyRbcHN7xw+JRAOOG1htewfhc594THDz
OD5FHvlM9lK2HQq9pmkw0Riuxnqt9YvmSlQ0ibr5o1EUS+8mPQqPtgw4Wiha1rpxso+9a9y1Mjon
KK9fVQaz/abf0UvcRw7HzI5uC3+oRZxFVyL9M+0bbaoBGHTQvl3/o98VG90a131Dj0r2gp0I0Q4w
GzipkjQSt3/zJoDhumOfa0NvE32DrhBXVWC404Wp+mCcpOBUb2CuMPLLJo/TrWWp3cxKR4BARJqS
2PkD322sMhzVjj2QFuV/pAG5R4F5XZXztLZmeU+8yRxE0kca1uU3UvUHw86GdWvpL6CeQC2r6T5P
Ens3WvPRJMkQfVo6rNq5/WTk5ieTlPkgG409lcaBeGsjyJTaIcC8KjJvPbqVc+ZaM7PrvHyZ0/oh
doHlFk516wyQrkXjZnvVk3vC1Nu0wi36Kr/d8Iix7woVb4wxbp5KsmNIiPM00mdsZ2xXhj4SvrOa
zBb9gVAEC+iu2hqeWsRULWt7bhPnOhnLhO/QCuuT0v0DoTLbYa5aUmizerjPbGuRfClDB8jMBHXd
j0ZCEpJ5sEgQMFBPdjpqU695Cp3k2si0V9T5FNFw2SueRkR+A91Y2QWjr9aVyoyDVtjIFdVw5rV5
tV4MC3aSoa+SQ4KALVKPTurKzRjV51Gih7iCR1zizSoWZBmk2Xro5F6pbuGkpxiHEISk+mXaVueZ
wytrldklOdanuaYd5hx1ZhzFMYPcCR0t+RKOIhM+Vam1GnvjOu4c/DHdazZHKhh7iiqnflDthozt
Qyza06zT9mR+PY2p/nG2pyxw80liKv2YE0aoJOLD/qQG5ZGTHUERGJgkKaItFUR4ge1VltgPOJha
I0boOdfDzgJuttUN5K/RIADOE7U5Vmodam27Eqre9UZ5nCr12FYpMshJ3HcdR5BaS0VzuzRHIw9B
yb767D16t8H8pEwyvz0LL6so24XgRLzEyenG935IKaUliMmYLtUUuCuxC0/Gm+r8kJJQ9FR+qDfZ
AanZKjylHuzX6e7feJJLpfftIv6/7J3ZbtxY1qVfpVD3NMjDGejqiwjGJIVCoXm4IWRZ4jzPfPr+
jlx2SSqnsxP4G+iLLGQBaSglWgzynLP3XutbXF7WaYzdhInw7uNRvPY7s1esbj729lPp71xi+Nzx
USmyxe9/z19dhx4GonDOT4b6mT7gtuxZ0djPRy3ah3TQ0YK4wY4R1p9c5+Pu9/12cj/ZA1FP2Vid
Pv4+VWWAdNVClYjg09rCVI+b7c/MJ8avPrP3v8yni3ToiBqRyJu2bm4hwa36rfrN8ZB8FGec2YPF
Zb1CQL0W25sDAMvFoT+L1rfNyl9dxCfDYktrf996/Ideseb/q9vf32sh66fPH6pBu9GmtmLSan76
+6UdGox8UrUjKvMDQqiVeqbdBSf0H2BredPi5EHbjMtDtR625HFnpyQuXyC/XQ+Lf4dZ/X2QlA/w
Hx8kV+k/vKImouEXB0m+8cdBkpG4nDmrYCbZOT8OBBlv8xEy8xYWCQnS3PKjlex+4QxpcPKE5MEx
Uube/WglOwCjYTwQ9oATn9fsL0VHGeLjy8RA0OHnsDKpyAPpJWifnqMq8EdT0XoiGogSGiSjvQfW
rnD0XdhxUx+VWZLc2SzvTaNsaW4hSGttdGpOhoGhUfocVQjGh2RmjYZueZcA4/fq2GF4R/98PSM7
XGfRzKS9xtPQGl2xqny3R6nWDPsYCH0nafRM2kKGg/aNi4OTXSUHy0v4gA3EngUhQLpj79povPOl
fqWPy6u6CIF5KZG71dTgGUzN9airpwjhD9RdEo0EN5/KVltPJlqlEqh+CqZskpT9Atx+PKUPfitO
EGo1p+GAHgrS1xr7Lg7cAQ8n7oCvFoPHbStJ/vVoTmu3GF+swnqxHdqP6OM7ryEAwB31e0gY+Qlo
vmKhExIg+vCCLiySvrh8dvPsPAGnhiLRXioheJbbMSZBm6Vnk2h+sTFL6wm58zookAWDE0MfkL1Y
qbYaaT1rRVpu0NN9s+vhciBUfMsUERVmbwarhLrTiyPFWnXKeG6HYC6jQNxGvnPW6z6xGEIr0Pej
kIMqh0khTzZpP1Dzt48U+DQy9LbZdIxl59kYTh11unVS+izHsWEUVoJuQszNluju6VO+zlJzBqQ0
XjVxZyyLEcm4MafjJosihFMRAI1SKtf0RNwgbEY7JFVtwgkXc5DoD7NqL8CruG533VlpcGilIG5+
08bhzd6WZrEa6PJrgLU5ZDjEeUScBRI1uo0Gs0Sjj9xOp0L29ACeYGmBmTYLuKeKUhyD2GcKgWJP
WOq1rTCOHmJyMDoKI7R9RpdzixkP+/F4V5rRN5u+u68QZA8FDYJ4TeifrXRPhhQNxob+AFLukeM1
XSZ0hZNrkB+M0lCowRVIg8Yb0SAqUoxYzc4atps3IlTMESzSRjrTOgQlDlLGbM5fValt7DvHWlhS
71gmgbmg6fOsIYU0BbJ7pJFp2O4npJImksmW7ZIigZRuFF0VokoVceWIyHIaEGpVvrgNMvSXYe1f
+wgy25g7VIrAWOsl59YE2WaOfNNHxokLEZZlABNrhGqMAVr92iD6HGrijct6LXyZYmL3MgbqUpc6
0cyPLmqEo5ZDpKrjnATQyztrOC0RmAZTeyvLlSA3sfKYjGjmrY4gtVRhkyXNdG92jrOBTZstkgh9
Ossc7fRKYUY/4Tfwx56ZelTf1whhdbc/S3QaV2hkOymW7UHZLit92JVSSMsDi0tISS+x0nwtdUS3
tpTfzpazEW2Mx11Kc30p0kW5kCFUAyArBbwx6NtdbpfLsSFhQgp95YrLKkUuVoIKuOioQETVqusO
hXCgkq2hqdVW5RawJl3ok3UWd+4zrXSeLdu6ERbzMdCmS10KkPupZKotl7g6nPGxq1cCtXIqZctC
CpgbfFuuZqbbrGeUIUXOgZQ7Wzxv3Rxcaarx1ZaC6EA4Z/jx/U0QKMqa+v2SSVeNZwkh9STsrwKu
3QrSvLMwEI9OUnadRcJAAD2tE+wFINf9q7iCrxXV2nUuZdudZkfPZagcLCnpLhrWiCi6Y8pyXkNF
A2v4SiocaM3ch9VWqvioKoZAUWMq7oK6ObvLMKgFZLMFMBqtXgpDzVPTqa9dGRlRy/CIeS4e6SS6
wBl6HVnifI8aEh9m30AeVqrl3NVHI0oPIakUOukUIykVmoyr0PP6JJ3FKkGhhP/evCCd4oy2GMIK
GXYRk3rhQH5TwXjg9CIQg4Ye/LO5u9bJyoh8VClkZ9AFxdhmOdKzMt+7Ml+jmm4zEwzkEB95HrgJ
Y3eTkcgxmwgZWukA61UCAWxiO0jKusrJ8dCs5gSN5amhjje5QG1imEeL3I/SRavo8C+jjASBjk5Z
ZhIT4lrM8aOY6JBcFS1aW8sbonKbky5Sy5gRm7yRILbgxMkIElOGkZBIQixJGe9mGVSiJMMuf4su
kSEmuATFDm9P5Lky4qTQCTtJ1BrlOXa2RTDSJpCRKG+Hkb9PZSonlD8+la0xBOW/OpLxXT+PZAzq
LQ4+9ON0m3E9p7UfoxNyPkF1o1HEqv0dg/PzSGZ/QZ4IY1x7a9+9ndZ+HMnMLzQKcaijb8S0LpuF
f8G2YdtMdd4d7TmSuVJdAKnHhniHbBqJwXudYsJAwx1b3z74Y3MStFWfn7WDmKxlnPVlWXh51KFB
HsA3wzcOCOZ0Q4TRhZtjGWvj8GHUm6ssrCYvJPJ2SUbfBnWLRx1OZ0LNBZKUFHG2G38F9QESPDej
1aQA4shn84Crt6VPojwUQ3aJh/Vu6AotuWgxkV7hL9y6w0jWlo+ViTc5UCPlkPi5A/S5r/BLKsHD
VLbh0ffDyDqG6WQfzZz5xdIYAMctrC6F72z6mZpfW7YCN4x1algxg/bb80ppwui2YyPGnZIMd4mA
OU4Pr9hGYRyjP1brsyE2TobOvDQDY8KEld+qc3rdGdjQirB8ZgqT0f3vEF6hTK/bmPVM/xrmMfN4
xThYnbizxvEWqLi51DkQKr3iKRlLQBDR5TLKUvMcyJmgDm1DIlbuhK879ImSRxGYV2QZnsdxaXqT
En0Trn1NMOGLaiB8aDJuium0F7Yucw9GUjdQi2MyC8rkcZKDF8L4tupMj6aSrbYsda6rVBPrIk8Q
behwYMZYbEOmNnnf1142RABuGKebWWjjFEQO2qhJvoK4nbJwTBhnxIUvFdOzDocrN8S2SGg0QX5l
+jyNYjf1Gk3CTv2mFq7ndA1MO9/0iRohCjR3n4KwOGWyeNroLsJ9BzsiMR5Xto8rzw2b9egr39CY
r1N13JV+eQhqBO4Ykr2ynq1tlkv5FJOptqAzY0VgeTslex5ClwCLKb/nkW4Xwu1tplsc/Xm8Lgws
Cgj5i0NLKivnRv+YurRRA5KfglC79EvoqB076kIda3OJxRjMOJtuCNWiA9ixKIL2pOUTbFEGmFUY
bUbTYM6jVsVqzo1dhspkrMw7rWkPbhtdx22RLCO1uc2C8DI0wsgr1W6jBZayY9HWF8z4Lifbv8ZR
eTFX0FMGDanbpA14bqIIMGjtHzt/3k6pz4xsVJ7rSgk91SiTzWSySc2amy6HDrlfYDZIAlUDgtI0
nxRQt2M5DiwcyD9ll+vLrE9l9s2wJ/DjW5pGJxF4Pg+i7BkREigFVft0KhgiqS6DpSmoEAkbGFO0
+AnN/MAUqz13a+O+x4615FXH1TRlMBc6/ZV4kXmBWPmym8nW6OztzJ0BxzPCf88LPKpJfyOGOd8q
Bk+nL490TRq9pJOY2Rzte3MwrwQ9zF1fABtJa7GjTNQ93XH2YY8j2zJoEquZYayHKj6PAsuzlOQy
S/tDEPJsD6FNDl+ckHPiHsGXVmsrpZ4YsIjg2xmnRZVb11hTerQ96qsvjEdVT58RLOyqQWefD1rq
CUW8GI1y28Rw3rMsu82GVqyE211NU6ttIit7KCbjFBruBATWQRRknNgw7QnzdEqbXGKwLVNYfdUH
5CXCBCYsY+46szqzlLElSpjqqp+/1rp4qIAYbl2VHJXStY9z18NebUMHFiyOakjA+cINp2eSspqd
ardXYd5iuSzVFANPAQ3MBn2KV/6xtIyrNmud5RBCWdY6f/DqjhZyXJY5wWnqoe+I16Kr+9LP+MRy
k5NlLHqv99GOJEkORUcBCu12lYs0h4oN4zT+Cd5krTH0rQqV+RCNJmjnphoZeYjQ00V1OeQcYCbH
blfaTAJwRFSMDtCoDWDNRGYMcCYOS/BKw27K/McsHwlZh4i+Eja+r1HnaS3r+NlCbI4JH8Sxmfvr
wNCnrZWTLVqUxjoJReSFMCrXDiTBBevhvMnj6rEGHJTDNgoGf1NwZGfEHlmQr5nbTs2gLhghuOtR
yQtZ5PgXVi7KtV0RFBPoe9S0wbrNYmdDnUx+IRCHpd9P00nYdd8SYvvWYdnqJ6LEd2iWMzLNMci3
YZ7PN/OQ8dkMk7I2HSYhCof7RSAyVsS23+mZT/ddc2YErP1pkLonvjufKtGcSZ5uvfaT+aLOfA/K
Atwe29rPDZVe2M1yejMdyy68zgWDB1BB6brUOYd1oVIvY719tiq0zhnjwM3oMMCaNMTIxNURE52G
xzZi3ubPqpfgmdyU5Xyqt/6ewEMP386xRyC70uNKlfk86Hns+uCa8bOTZ1/TxqchYbuUqZYC5ZpY
nUJ3phWSUdrOsKQWqjrcal3yVCTKMa2jKxjGuIbosgLZ1axFbZQv6Wy/BpnK9BiXgVdHBj8Sy743
pOpDGVF99V108F2yP2AI9N5QEQBS+Mlp7mTqNh7j4LYKUy8a/AeLYmoheHXtNHuFcfBg6grOtfZQ
vk1D2uwZcYG70lxGE26W3gKXYdYXMesQinIxq6XqKWl0hi2PXAxiYVPE1EuDPdXECbREFv+C8Wxr
d/7eYby+QUt2Aj7A9apEWYCOvMum+jDmAgfDlGUo5Ujz8OsTjIunCMy+KaXzOoyUjxYdlLxStn4T
vzD8W6ONaDeNXa6akq8OhXJLfsZ+Dk6zmFqls3dlkzy5Xfw1bFh8e7TqcW3voFTIp8YJ0InVJ3ND
yICd8PFkVOoxrZ9x5nmOgDCthTBedJVQPsagV1Ec8B+zgPeEQEW1VJioBf0YXrsNJ7dHTmC7aCzW
FScdZlbWyWwW2bIjVsyqHMKkhjtN54eXY4G+HVAzXauNnrXPRkBype3nyzKrDqqdHeUhBkklesQ8
2EDIRkLu6AcmSzf1MFCONiokqLI6lpG7n6jcPd2qLjulhrwWm/AEAeVidaculexxDb8j1YWzQGUd
rOFz0PuZGfDpNS2JvuJXc5AahJw7USxG6MdxcOVGvbP18GSY4tdQM6N1MDjnkxZvinnT4OISzqae
ck8b946SXIdpz8jXMJCcOOYmjtHxTEQHFPr8VXcGzHPBV8ci6UIg+1N8NeTDqp5IvgRBIIbYZCPu
61NeH7ICaKtRv91qpb0YCQJxmnrlbPUg3QqgIH2beL6jlxe5VWfkT+aRNawiw9SUu7AvCvQ6iNXr
E2Z+A4Hu0SDT3Yu3pPeJTydXzUjxDBkEH8wyE95xk5NioAswysB4as7N7BIvUaMMUey49HIZLx8Z
hWdkSef5fXGP7X5e5U5fUf8H2ooIvBu9zq9Imx7XTHNeKxLsjQhNUsbBS/ERHWLL24W28VTm43GU
YSqhjFUJIwJWOHc1yyQhdMUcek2Gwo9sJzDhEpWNrZExLb2Qnx1n886dUCOG+6rWjEVKtsvY2oee
rBeXzBfp6ljkpMBo7uQ1rrHXZDxMWZRf2VtAwZAck5Ag08goGYQuL7MMl5llzMzUO1uj746VDKBx
w3kzUkosONcMnuXn3+oh2+oytgYiyrwmgH1vVOmlSPpV3sI3JNln2LLu7l3Sb+wJrlkOaGQLcY6E
TcEF38JyZGxOQ34OnkdrAZBlU8poHVdLHpOKDIzwPClxW5jTYhhxhtTgR1ynPxAqV9GibM8zM/4G
1IaRiTYtB0J9ikA9mO60JvLrYAgclNlCmSuvlkFAWKbvElKPWhKCWru9Kd2CMSHZQU69GS37iqno
knPvYSJhKMLg7crIIZ3sIahv8y4mjYi/4E0oS3ubs+AqlJFFrAqPhgwxymZUpgW5RqMMOGreoo6y
GcoV4UcQ2O7LXmVumVzg+3pKZExS37Q8Ce5DSn5SJHOUZKDS3wU9J0pEpNS3f1zQb9KX/BdqfflN
P+p5oX1B744Sx0ZhL6Fx7+p58cUFpsg/CGYEM5j3IxYOtAYhmf+esfxHqyMJDZgY+ZpwmTD+ZSkk
P+ljPS+NBKolpZAoLuWP+1DP51MDfaBz3HOR1cBNTG0u8ToVQX6hK3koVmaYNf4jPcv6Aq8UMY1Z
D1lx7t29Fbv7OncTtovka0KjceKw0Is2WE+GQWep1AkcWZJgsctHvVp1vXtBmfoKDiVa2jV5xZ3Y
KLBKgiaiVqk2KgwTJ2d/KZWtEqVfzRp4jh0X+yAeLhKJP7Ha2qPe29qqIJ8Kh7MOKQWEDqJl2Clo
kg6CE1CE+pwSALxKp07bSQJXckX7GkNgGYkT3tWOfV/CZpnr4Zn18Mxx6xQTP7/bg5SmtxLpQtP/
pZ4c8h9itmqJfUkkAAbf5BpJAFElvbatYMSgYu5pYoCNSXSlhtgISkbVAVJ0+NG8ppjv6BicORI+
M0gMTS2BNIKWQGiAe9K7YF1LaA35j/YqhmPjwLNhRgUeWCJuNFg3GcwbrGWc+ovzUcJwlMw315kE
5AAE24FcgMoQIZrUUFd46iDpixKtU0qTFrVvtsSsgXxiusjMBBN2BSVJxN+mrHcWqoT11IXPcAVF
AurFp1x0hDlr2msrlBMN0g8WpT12T1BEEgLUv+GAJBiokIigScKCRqhBM/SgTMmHez7P09Z8nDPr
zEAPSs4Y1Jn4hIjmq0FiiMjJiRsPEUIV7mGbd2xjURKA003TIrQw8CVudRgD096ljWOw4vfhJnIc
JClkqrpnwlbCEzspyKNj7dtxX0p1ZZBosQl9x73yAfC4uE20kRFIQTugJ8VqQ/veSD1CPIMNWZEA
aO28Fns7Tbs7p7Ac0KyJev/3cvi2HMp23x8vh1dP+T/OntqXX7Q45Tf+XBJRIuI4AkzDFFnF7/5h
STQFFmicoDoLk4q36MfUGa8pNmtk4ObP7uePFqeNQ1XqOjChuoi9cRP8hRbnfy2IjEhZCwUrsiro
maKgfN/gbLqhqzJQXbgjj3VgrCZmaO9uyvG7DuK9M4Hf792Sy0QYNLqN0sWUnnMMF2wJ769gDSSg
dmi/zxsjxnl4q6j4kC4aNFX+cegPjbb6/fXepJ2/vaL8G72TZMqkrIiCsiOmBK2TMwWtLJGRE9G9
KpqLoS6ck741y4OVUDc11tqKp4pJ+OibYDta1qYgtx5HlKc7C/enDDWlrdRQj+hOuDeL9BabDhtB
rcIpSV7dUbknV+1YAHVf2AXgkjioJfYEdaAuQmdVp9SEWRAFxMNZm2aChmvS3l4HZVRs/GkE+QfB
YmHXnU6RAPLQx5moDA59q+jS6ftT3P3wuaN+r1Q+n1KMmchntAfgyjMmfUH+3oVPmiRdHH1bFNqx
B2tBvvQuV7uIcPngFCMZtknlplY0cnryx37Wj6Mdbnt7blYazaKoNTZG6ZzQjx0XjMYHYqHqZuOH
01mBB/7KBhFI1LA5NflVUYXW1qpQSMHh2zKmV9qLGWB4ueyyeizO08DYt6iFDnk2wwVs2pnMKr36
mqjO3rKGM9oh+9KOdmMynNWuT+Zbcphm605LXRT+CgMxV0dNJqJnyAbfUqUwV4NpnI2lARUde2pS
7ltsXOB2dpMeHVUIQrlfedE47YcJk6oDKLrFpEq073Da9Opd1YkVe3QAj3C+MVOIhX42JYeoy495
0jJ4Hw7JnJyoRUL9U6I4SPCLYY9jotX0CZgQ4hVojN0QG8fBllTatcjKbtd1Q7tJ4TNfSGPEPp0K
c9044pTK2VWGcyN0LpuOtDEtpPEYhvVaI2nLT6Mju+XV0ANVwRK0KMAhOvRw7Kz9ZtMZWWhWfCFI
A3O7DAfqiNZfWJ7BjgZalm4v9AJrMDZD3a9VgAithQZBU72iKK5owB4zv6qWwwjTsE2T/nKcwktL
ih5BvTilcw8FYTnaZn1dqoq+JF/5NYfPlJHHReeOCSMoJBxGZI71Lyq+u5yMPaCJNIVsl1xGMkx1
sPyWAn/cD45h1J8ZZrytzGwzquYqtfMlaD/U/MW2ltXU3HpmoxxI/PHEoHBUsC4mTOUkg6rNAh3e
unL1W6NuAFIRMVNJh2FuptM2AQm4q9Oc2ClKQ31STpJmvibIO0SU2B6iuriKe9Wj5uWx9mOXBEMh
+w1PpE+eFdgMaeKTDTU0nPH8ZsiWpk/N9bbM/D3U09ES/n7TW9dP+XPUPP9q4+Ob3218aKwIKVJN
W4qq3m98utzDyAzlJG59lFvZX1wmNujc//Nd/9n4LHxMpqP+D218aKzYXk35Q6V268MmYaa4B2K/
ns/n9q5yfJDv7fcq8Q9df/InfJAF8lNVBpt4g13BJeTW+24bmksfcUypa/BwlUWtrjFuLhrzG7Tx
dx/ALzbYj1u43GA/XkfKyt5dp1C0krhvUzs3Jdmk3g/2t99fQHwUpv33FaQA8t0VAq3ipBzym4jR
XvTGje2+FsAIXIVOSE/wprps+oey23bRsS38hRa9xCGxdUdRXLT5VTCUi7Y6tRBKQQIl2Omii68G
eO2jm/3JrZAuvN/e80+HDT1SfEBZ8l7oK5/ueVXedaheCs04HyB3+X6C3vjVZqhS8a/0x5a/v1Vv
gtfPHzoNb3lqgxLBKe3jrcqBf7e9ak/nCLQibalRbe0T8oja5fS2ReKUyAmHRdlTI8s1u+FSgwMF
wY2WZq8qM0gJZkeiRCfDUEE9Gdy2qzdpdi8y/QRZBp0aocTazahnqJMTN6bF6bSLHP94bdW7siMf
uK/wKkwIyCFszudQNFZZAESrUlASzZt6dI+ZOILLXfskibLiB811Ezhn6P2p2Oh/AfcVdHxxtC7t
mVkYXbnEvC5KHO0WQN+5YlpGq60jkdVWs9WAB7e6b2LScBUgpEN+qrXGRRyfxRhpewR5N/gDqY+R
ihfudWvI3cxcxJIcbEaB4RlR5XiqA7i3SNKHVkEam831wjVxwyNZ+ZNcM/2jmphzKOvOuxf/s2Ef
nxul2djM5+pG3/q7ed/e6RuyT8+xHO4x2S1pfnruclrry5P6BG2TNz4ou2TdbtSNhbA4/o6w+sNl
Qr48n5+Y98uEBAy8e7kMKjM7k49skexwaefMsZpFta7UP1mO5KP/u+t8WvAYyOMTCLkOKS3p9fit
CpZRtzQETcc/eQm0j7f4+3rx/iX4VFSQzZHWuhuJ85AzxpEc3g4gGWGZzYq9OjhnWPX7t+5XKyCE
H7joMuqIqfbHW5hZ2WjbqS7O6Tpwgv7aK8ffX+BXC+D7C3y6d/S87bwPhDhveq8zk8WgLJsx+ZPf
4s8u8mmVdUfXmieHi7j96Vwhh72GofL73+NXW9L73+PT8jixV9d1ZopzkPAgQ4eFal268cFFpft2
of/p09FZ9FwXTfHa/i/5k58LespRELb/++Mfm+9/Dl4K76l9+vAHet5RO110tKcuXxo0Kz9KYflf
/t9+8R8vbz/leipf/vXPp29ZlDOwbuvouRWcZt6+tvv2r39qbz0BjYf5j49Hu6x8qaOn9Nff9+Nk
pJELJu0naBHfOqE8zz9UT5rFyYjTEg1KHR3TO0ejrn8xdJ2ugAbKHz+kbCT8OBmJL5gjESkZdFi/
WyR/3Ifj9yWAW/iHCxIqqg9LBdArnWJdAGYzBQc0nJUf3ycb3kQ+KtV0NuoocdYalZt9Vtr4Al/V
ec5NEpNatYXVoKOamAF2JgnVA4HmBJFYRnLpC2YZDlLHba31BD2TxvccgPNZFq7/hAnxKvGT7Ahn
Ah7bbIm1blKWciZszkhyfw1LQIhJRrmu5UDgGVHrK7uJ6lVLL4GkZc3cz8wTCAdNW1K7mOVPy9FC
2RRTdx9KTo+LnhEd+pLkFPlg7lE4TGtsj/IYAiojxeC3xE+IYgZ118Hop5PEjPZO0fqnWUQicqK4
TD5oAjsL4DNg7BMk56NrowBoSdOp9DGhQrLJER8p5Sunw29mKA8pISylNeYnlHHXmhWqZBYxx2Je
Vi4Dd1IOdWw9Q6fjVAIjdwNb6nWO40eGYkhXjV4j+da3/X1JrXfDLNhHvBGeBY1O5y+MX9pgFg+k
V6GTQbm17q208uwmRXNLl6/ir5u7p2h4tZU1qMqJUY7q3ozydhPhNVwENT7p2rYvnDSIr4h02g3h
dK2UZr4ojNzYqE5xYVsM9fFH5kvZxSJlijC2OWE+aagDveQpUfZa2CHRnurQfOjLAEGSqienrT9p
7QbE/ESzca45hZBIyAyc9IPobNKwey+UgHIRsic/yV06rtKel47LcQQEm2LuynYS14ro0mhHSMF8
Uve5ex6h9a0AfzqU7S43wT93mSEyw0vc115zk71ATqUF2Xxl9DUJ8P9Plq/NS3F4yl6aj8vV/8+r
l8mr/Mer1y2LXVc//ffiJb/t5+LlfME8I6BDYp/7Xrv9XLzcLzQC6EuaDGy+tzp/9DMNdJmaYCoE
eskSjssq+mPx0r8g1BT4tHXZ1pRf+rRY/W7x+rx0ma4tTMDd9E5RbDJU+rh0jaoS9HWdd4cZG6NE
mAVggCPnz/x1VKuf1kguZApmSDBd8BRy1v94IdTlfWXFRnlQO9O9ScJKsZYZvsl560Cyqpd6m3fG
rmn8+SoWSUBbRzPuYscOHsoi5vQfTO6pBlAVmXttjsdw0jEAFH3hWVNgN4xa4kZ/7KEmOMfBr/p+
HWuF4RE3FZHXpqQcdVJap1FZEtVWDGnXLx0lQGARNX5+D6/PXZnOXDOVyZ/N1BggVZfgbToV07FW
JinKOJ+BU4o0W0mbAg1DNBT6uYpaMdn3aXxetwlQQCZGy9A9omN5MZvyW14Fa7/B24GuEgzvxlSs
YgM8FlxTGa1cOjputjLHbOdPU+XpRFB4Ta3hw65eQye8pEt40ET52un9VcrLuyJYLn5gwtF4bpB0
Z2jG6kPVmNZJGrlnJYoX8MaEuBDZrr8acZNvDT8EhNtWpaQgE8iOgGclBlm7uIcmB/IzC6f3IHST
FpLbN5Om3KdMviEwhTh/2jYQNo1QotmDxkeU5ajRijxXfkQr2Oas+qY2WlQalpOHlyB8lVVna/XK
HdXxHqwJIEVA1e2iScgiNJR6gsg4X1ZWS+NU0bQ/CfgScpv9z4mdSoU+iDSpOtACwRWZn47R1VRX
QUAz+9CssqeBAdkVjdiFsqiW7TbfYqoKPYzxG3tVr/KFeYL9ZCW2/vJPz6WfKgcOFbbNmAAxjew1
IGz4+KibI93DoAmLgy+CkykNx2USVD5GLkNgXklcyGW+bNha6LdIpT0L7Br2Kp+RlQBEmTCou746
sZfOj/iA3XUjsIy0bbn2nfnRNn2KQZ+Ub38e76oUDYqoK8y5Tax744B7CoprhihqxIgBT1Ej6M6f
l5VBz2Y23e0MgGwSYsO0V1tUbc1D4RpohXKUVoZX6IS2F2q5GnBSCZ8DBxhY0F8lLfSM2Rwv8WEY
XX1TBfiQGj24CYZiq+nZWTc6BF845UZNeNBst4J5qcZX75bXfx+93s9GPi4iMo2acxwdItZLS7dI
1fp4Z91ZDKDJfQxGPeU8CwEI7JqBqxKFK5R9BoTqgOX654r+i0tKkPC7p+q/r/np01TG3q77JGgO
CAMfTHyAI4QDb27srZF1dE9R1QYWDF6bRrKZIqYwjXzaw/gKF45i7ovIuVcjULh9o7wCNF/TFjgT
hXWh+vOzGVSPSKYrr8qr8vTvPfl7RcEn9PMTlHXLv2sOebT41z9PX+pfaC4khvDnhmxz+rcwHlt0
NjQZ4/WzmsBDAZpE4zCvcpK3bOqZHxsyjClIZKRtq+xH9GDfVRMG+CmsFyoUaEt740P/hQ35LYf6
4ypmOXjeUXDwpMPc/dQRIw0iANc3twe7sTESYkDD8haK1LMrw93YvfPUwONfVyWZS9o0x4ZykjVO
h2bXjkT8EAm0veehX3TVjiF7mWHMjwd1hSGus48lWavDMR/KQ6kn0TViPDxFoT7buJpmBjNgMB71
1IR0lU/BplR9oFYBgYz+tMglB0sYMwlGb0ifinWu2xm+kuFv01o7bR6yEOtYuRgxT6Hr0zuriZq1
yMdIO8kyEuuvAk4Zyiaq/Ji8VKAUG1cPkGTYCAjHvrW8uhhi8iCYLg6Vr236BLTdMFYzi4pV38Jo
7bRt4k7WvNKbbgq8SbjzuEo7lIXUW5KBnRulghC6JHWjm1iDvZJ37SqyrBpnpl2iNETTstHKMGmv
Ej0l4cCSG/0orFBsKps/T0FT3M+D4QIHxuEW1wTRF/YO14Ourv5+Rb+/or89Np9GedD896FZe39o
dr8YQEx5FzULKf+nd1TX4BTpIOQklOI/r6hFbg3/Y+/F7fn2Hv48M0tCHG+tLeggyOHKX0IY2fJQ
/PEVpbGAB4vzMkgk7OcftyHN11sYKLZ5CGdFr29w+6QZusIp07wwVDoM5qh5IsKkEh0msjWiXhrS
CzlBhLKaZkigxzZatrbqo250rKbaZUU9e5PdY97tTHbyFQfhE4LcmOAVaTEnFwV+phJfE0bPx3EQ
7dLW9cNk5ZVnSBPUbI8YUqrwa2EjlBHSKkVfhPGfqixHXFREbifLTCSTN+CwCjX/HqgZnqtCjZGT
p29erCQtsGVJg1Zv1tgzvJCfai2LbmrzM0OZSJrCThwZkY8PNx1WagvgyM/78quI58eAEDRwy5nP
cTlfNyNJ0kXGrDNWtmRntIuxzr+qeh0DdoOZjPj3JgqUZ3FW5ozMDczI+N2IsZ6JuUn9a61yLrJC
XblTv4nnC621boa+ubOcYGUg/Hf/jkX4d/eN1+OP98r9U/Lyi/eQ7/mxVwpJE0Yywyn2TXDDkfpH
8QpmjPeSFwq+lqQ58KUfeyVlLbxT1RY2X1Tf3tEfxSvFMKRGNjabICmE1n+JCa9LmMTHN1GuAcgb
mHEyQIIP//FNpOfEqlzl5nnSp8GpEmSVfzWOCToLGN3JZiDlCpU3HvCKBGoMtunOqDE4mZ1ibhOf
NPZsEkTADmThEN3mqP+HvfNajtxKu+yrzAugA95cTgJIn/QsknWDoIXHgTtwT/8vlFqtkrqlPxQx
NxPRN62OYmVlkgQOPrP32ttJztnGdFaOOfJ514IlNLL23+RxdVRIALo4BOvwhFO3dokrnrjjrbe4
n1Y2EK0MWjWIInNBVZcgBpjGU1YVW8Udkg2PZnnXDx0jm8n+XkweWoks8cIRuXqhCsryejfq8V2j
VTJQbdDeZAgOxCW0+37Rrjw4s1gXb1PDvV4a96C7CP1dIp9F96zEbn2qInFqEgBgiZkeNG98LvqY
Dje5L3XrMU7dCS0O54GZGzUYw/gFg8aBEKAwU6MXXDav67oSpTVtSt4PI8wvgGEpUHbDIIu9beky
HOGdmlXek7c6KsTiqkFZjpQ/vjSl+dom/XUPOgA+l4W1RviLGMfNHNXH0skdvxT93vJYWxG9C5sa
UeJSwYFAmu6w8Q0MZz4ukfLstmuCkAlOrc8OMq7Q7DjdwinAMeiuDigtwkpKxwE68iWnQgGQKHzL
aJdtPJOOGdfJewcBnuWhZgUVpGAwG8eC2eSudPWrqmZ9M/ZFEpA1962OEjM02i9pz+rezm0vZOjG
INOyA+rGL2XqUH573nWzxlQsKbrWwWke3NbFfukVe9AYtwX8LG9oIasPws/62vGtNa5pUuP5+1wt
Rzc2PxywkmE2sMkhjfvFbOsjFtDvk7rcNq7ywDDuZaxxBbV98gUijjnDSIcIxOyqdFB2wMTHQ6N1
VHHj5+R6OIo0i7leHW8zXb7PCcobMDtbZ8jfZ8pKgXVkBSWkdvc2wPk7Aw5lzliu+sYeLFERjKvq
ke8fO+QPKWRkpcgiB/S9DkZHB2NkyWkQoH6Dq91EvDhff+ILUsxNGsEFYgGw9RS8MZsoV2Kfx0iy
nwf1euFmQK+SObtccXG5m0ySeFQdDSMzfNwjJAfxmiWtlessjg1iGlQRGlxt6KQagyxWbUauaaTT
oWTMubEakR5dd1qoea0xxMXTb2bg1huV4c6I1cdV42vcWYSF69rFkOQukHJ1i2I5Droiu2psmlZd
e4K/Ot+3mpK/VETrAlPAAW8wAdWitg5dIPqb1jZyDBMovUzAHBMY8I0BTZUMSZfrRifw0KmgnGmj
HK5wFYIgE+iPlPmSw3zOvUrfSEbPG1kghdLT7q2Vyk7D6LoZjPZQ2ajUTMs9Kq5hHbW4cANR453H
z9J+16npN9iMUWfF8KXZ7LKaThzMToTWIikr8Mn2i/reaPpzVpaMiwioDMd2dHfVAsgtzwtrJ0pA
Ax3Zv9TLjYDwvf5+I7vcLGZ0arxkV4zjFdFKmT+CP8y89jYZ+a5VxdpqMVzq2dilZdSzbMYEkS0t
LFLP9acE45rhSn5DUM4xKG3xZ8/bsipvEys1weTgfMQtenJjyaqyVneplb+oQ7uTSne/5PC/i6Il
7QFuWqXlF6RdSL8lwVT4y3ZRXe9t2X3FRpSgeRIyAJ7BDZvT0F/cqXwou6w4e8lwU/ETZegOxqEU
jKRi2CywY58ofeAD1icZuZ+T0LUNiPcjIzioo9q0Q2Ny/99S/ZdSnXnGX1UIXff5n/ppXvVrjfAj
OcmmINcNnVvtdx4G0KHrH/+qXPqtn/6Rj0ScEpEx+BvUH+nYv9YIHlpegrvBSPFFtLbu3xlw43n4
Y43AgB1y5iouQYvHpP33NcIgEZxShY/XM7WvEyZDlJHj6mBDimfmRoUenfoljw20vMOQY2bUEOcz
Bkj7Q72kBA0O9pKfu9kblzCb9J6gpbGuBASeCnr6+8SWjSVZ3UZL2MctR1w8tfvpR9iS9yN4ae66
rt326RrIFM3L4gXFL0lNQJ9pWRs71hdATT8ynRakNzBKZDxpYanH7RKajlaSGYCjDABwru2kSibI
rh1i03osNLhMW1gsB9p+DpzKNvt9rQzzfjJmmX2Nhjtt4wyMchjHWdmHsLFI7MOtelQit3hLsTUw
Sh41ZQOKfwiVorXZGKY8nxNmf2pJMCDNgPU2WJCcl6U0dj1YfqIfGxJlrDn5skcFrGnlflHpEIFX
MqR2ar4GnBAzwoAWB4bleEpiDIvueqjGaalvWERCRySG6g3ubM4p3eewA9hmofvC/SjX/Sb4eXXv
tiZ1CIkqr5q78pEXER/rVilu0JgmG8J/vJ1bV5+5s1g7oyAzG2ODuetEn4ZqB5srjx1QCpYsbnJV
dj6pemykB31TNs0YukhlyQc1PhMcVnt6Hi6LNboa9Q9ECEHIo2orb3UORcxeCok4Sbi7hIBxZ4wI
MSd6CxUqhV8wsp3ge9KdnRBld4RYlgW6kmQXPjP5l8IWx3wckI9kWGyBfG4sZ5xvPS+ydqMnyrBb
EVVQK3Dhtqa7GWWEeW1p+Ziu8VxUuc6xR0Z425oq7FmM0YLFyaavsfhJYWRrEmRzGwMI20zxCMsh
pSJZZq3BZDnP2DqEXmzJBJvCbmBzgWmvDifNkXgtQdlEU5XvtaJNfMYy/xSY/b/WNfx/uBik3fnz
Y/OBmBZ0Fv/eW607iV/PTXordFUqGShkEHj2785N4x+2TtlmrQ6u3yYcK4nZJgXLYf9H4Q0E/7et
oPcP/hz9JG09ik/Eon/n0GQ1+cdDk/E/BjOCfvkPH4V3+lllpVQlpPqmK28qrTaBf+sSOeAsU7VE
pD+vU8NpGjAJFU793gzl90UsyQ43/T3JE9iKnbd5AD9bS/B3LC+aGiBy71J9StO5Unut8RWMjBtR
Tya4d28IrHhOtnptI+GuY8DGEZkgQ0JQfCSuu7n/UGz4JJY3fjDfE2HCpEJ62JPwd58maG7E8GaX
1WzcqsIKBBPNKyCuA3YtvsYG/kMRFEmtbN8G/K5Lmc87VXfflEnbJmOvUYvGewfif7XkWFvzJOKE
G19GV3ks+hnke67dG1b/HLuWviPMxaW+M+zrGII+oBaidRE5tUxj41fHWcSus6h+MI7dpmi6BHZU
uK/6PRL/1cuf3k46UHbV+jT7cme042tnpidTZ//aAhOZUMQT1svf9val2j5LIz2ICV052cHPorOf
PeA3o0BBYbx3nvfe6t11u6RPlpjec9MtA2RfS4Dg8kbhw1Jaj/sSr+gm69GxLdCZt3Oe3oMpu5K1
crUYTQTQHmbUrHPyWY1bHjKNbQV5BslmVM0bxRqJMmDkvIH05vg8l05ZYse7TJH2tokL0gYk1tVu
erQ75UhfhhLR6Y+uGDISZsvrejYRB+b0rG1d6bu5H3cuplRmYDLx67lwgTUnbZCp5RDaQzSFltTJ
aiv4qjPr+zYev0WusyU39cZWJbYb8hXwPDS7lkDUSUdzEuf5QbfgeU893QFMe+CKansoFbbKrU4Q
Cjda5I9iOKmOepXwq+Bvtm+Z0t4RgHYzxuohzpzJt/VsR8TsY9mbe281ieWL/dhnDY/B+BuPlE8W
24qfL7pAh2qbm4HaeuvK5RnaRA0jjZxcp35SpOyCohsfFa+voZAQOr0UShMaQ34/K/qM/BckjaaJ
r7JDxJ+K+mLO3nVuworuAeBsXDGe5TSM4eRiDnHGMuZead0gE6nuR0TBQkWCWWm002sfka6ldoSM
Gm0HCSfPniThpUX6aPRawRWYOiH3WmBin/ZdvMa7ijxfnNxtvZ80PfINoZ6IzL2YFfmkZZYymIOT
gBQ3CeeqWQJHL6/SlXcwK0wCU8Ng+xUvh2gSr/m08iIM9d40jsr8lasNFue4vRMwmo15ypiEOuyK
xTfKvC+mN0zTHfOrXdQXZhlE0RZXNbRBnVntBs9DEtpABTdz2dwlsnstmKGgmT24YgGDCAQEyQpr
tglCotuZfuvOX3rXfo8VeRpFf1vUyqUfsnyLgCdYIK1B6yMrQ6WesKpR32QSV4qkm0CH1X/V2B4p
HUadQF7nNW3a7+hfiRMSCpWImJjujK6NB51BELg51y8y85lTtwH6gNJ0KOz3nmkZAgW4IxzIJ7LO
pl3cSblNluHYRwxMAGvf2cn0mqUW7kWTrR87kyKsYzJ8OpPhVIlPBByh3yfTfW814MizKiwmZGBN
nuphVVktN53glnBtwnjTLBRTdCXWFGtTRpPvKPE9k6ZrUXv3XmTujWl2fbsCbyfnAioR5CNU6Nu4
d4vndmSQEcHVVpjYAStab2wrewK63G/sYcy3HKsmmbbJ21QRwgmTajuM1ZED/W42xbBv1HJiGiXp
6KmcUlDfA4CyXaKmSLA7g2oGHHnkVscksk0/b4pzlwy3KWtQUB0l5hWjY3jUamEVF7x2GO4t0q8Z
KMi3TmTAFimdN3qlJ4AHGwWqiPLFXoDnRdKmO9RPtwTOvNkG93ZTOIQolmu4+BRDnIqW6kqlpsOl
2jxrLrPnHsY8bvYJKiuS7E3C3DAQnNlWXanbLFUJWOrFGwnBT2Qvm/4YVVuijJEK8Cvf8Lhr/REa
P/htTEseRkDfHlIGZca492ITwXZigsIXrJ2lOTwmMzZ6nol+n4EqTZnbU9gxnCF4kMuNTX9A1gFX
LHmV51pZxiA3swuab7EWcaMfq0zIlNx+tBCet9X8YQnrJovrz2kln+L+e7ZtEgfGlghJW1ZnlDXN
lWMtF57/tAhOtUdwdOjpPHxz1teoQFU8Y+YpDt3SPDIZbYKiMp6U2bxGFPoxNsXWi7JHHvbqifEQ
3CACA7o0vnbS5sFb8r2hdOhaSKYibUXIzWySImgxp2FjthGDSQgWLiUKWOcdfogSlJTIPuEyy3YW
7p0WlU3IrMlEUDxVYV2TskD4cnRQ2/nVVrgY+mTQt2RlkZxMze9GyjGN41fmCEGc01JMWb0TjeD1
Tn0jcqxKhC7EIeOu9xppwlb26QtmXmeTNfaNKu1vwrSZIxTTfomNr0wlRdYYNIlIrk1Cd6rI3nbI
JOztLt9AQuLyyzTS0NMZTOmivdjdcAWQntVJzS+2VTi10RTFQebMo28r2Ss7lEuejonfw2Hxm6E+
pQNR1Gbf7ubFlL40rMynGdtnMbwdMr553vU6hHsdRorI2iK0PfcjiZVpQ/51ux2YVLMSGQZyJmdf
AB3mVLWfShwQGxIHAF03ygPjvMfWY4pXpUxXxuIsO3BosXQJne5Ew/41uSfTkqq96BmQ0tKUqvdo
VvImLtAKGl2/5rUpEtQD95Mx9NspZrCi59VBoXLihsxUf9S7N/Lbbiad5zk/LR4hLGpsdfSJrPkc
ccUotf1lq8qDYrg8BEowGrmXfzkdJhS90N+HuT15PMkZrVvv3eDs0HS2QRVrx6gyqsBbBhOFaf4U
lyU919TqviuZ2yrlNo7eVDc+UxiYGxzcTKtkdqytVsO7mWVXeioOUdPyNTd/icna2JRj9qC1OAtr
qdw5RABudKb2JpSaaRWW2wmdc1+LKmx6nPKzxSyKIHm+HbOBZzu2mCSEeXIbceO6MzxOpyGybxy/
bJ2mnWuGeVFubNVBAsZY56qtxlAXHDTXwsWw0z6sLDbAMq/v7ZTfkeVoZAQmE+d0W10ms622rW0e
Nbd/z8q587UUd9T0Y+CqPhKWfJzm4kE3lTIYO45UR30bBqIEXUYHTMkdkg8Kea6ZDlTqhON+Rj7i
1argqs0+PWpjUudAJUzV51KCAGKLhzR1Oeg6kjUS73sne6wHUC0dVZ6Tc/QlDVdm4o10okXKh5TO
DjDdF7lCaHLE9GKU1HygO/20yJ6J/DhEURQkefUauflb1ksC3RoSUnotiMtpC4KFJ6XR4Fdx7qYE
sLNVYgZtxP3Uefva9A6epQTgsG76xfDnVJs3s5GESVSEtKBnzK0HmdawrlRCVLsMNkoTO3p+W1SL
/TyL1HavGsUa+AOLZhZ8kO1Lq1b+mxX6z+Ue8qg/70HPovs//7eKP4vP/7Rr56W/9qEaehiWe6zC
9D8yRYljQ4G66ulQW2FO/G1+Z5j/oC3U6VpZWTMIZ5H3r2W7/kMqw2jPwpkI7P1vGe7pdn+34UMx
q+JBUtHU8bwlYvr3jSgKUEbeFaYLWYaL5QDU3pnN008/mJtfNvc/y8r0H/npP2/013dBvU8egWXi
JLBW4dlPpqImYjVoLVZ21YssLQLhqpi6PBgffmToeZgZHVmQ7FdIK3Ix7cLV9oslOg2swO7UOrkt
SGzUrSQ9j6rK/k5TLGjSNLiFlqq+GieHUS8Pckgu6cCNI7Wzuoy33axfmkWcpta4RuVzVLN8BpBO
ZZNR1WyddcRFAMbM8tD7IMllRMnK/Zf1hAPhgvrCe95C/LQhkhCU4XnsY+bN5GAIn8GS2sdRWcpd
NE5O0Csd9BYPHeckFyaXeV/hSdDNb5HhOTunsIzvegkVVcEytEvVPLHDRDZ1EQrCOZ+wyMPpc8F3
7mMPCt9BM0Arsd1wr+y5mxm3AxKE9EEe86Y3asP9tuiNHRSNXuxaZbGtnSbGCdt5rTH4bbjHy36O
Nir0/msCkpQL/35NYD3HszLJk1CqncvEP7AlezFvlT61jpvujcLMj/KHwpf3Q+1r/VD+6j9UwDF6
YPGLMljLWBuucmGvtZ3jwHriBQeJ+TQ4CUoqFMf35g+tsUsaHtksujWiQWYqbPNg6LxHIVxwr+iI
QiikZqDXU+IXEjwp4tL5MOgWdYOUNFb8zM+UoN1rx7J3msEuzTTvG69JD4peaiHaMzQZgOvvloG9
i4or3hOadxeD9d+wTIHtNdNBihrr/ZSjVRYaGq/0yS0tavWlHAK7SZew7RFzdIjF2DpP6dGGZx86
rK12fV8QgEr1f0W9ra/YhW5nG8N+NCsnSCZ89jGLJqac5SWtiguUv2pbtumtKSxSvGUWRHaxFykg
+NhQbzpvvO81Z3iMh8n9ElSYHaE69jjZXyKVgVViLowa7UFV5Da2e0jyIg89Hum5y9ZoYnvW2fVH
1/WfVdp+ztn8DekHMUjD0ZvKLQcIhpVlZ07qZUZxbHj9HikdMkk0ue3wplqSNbKyLUaNGSg4TDm/
w39hdvoeqVILRrswmCTDu86t4cWy07disc2Q2q47skGMyfJaznqpH4xYv9i1DEaZv9T8+rreYK/k
OmE02Fs45nupLi9T1IVxiVS2UZuNAWB0o3WVegBvlJF6ykLKcW74Hu8saODBlC4x++IIUOCgppfE
tEGjRfptX5A5Pjb9KdYnLmaon0VDk5pHDldZOZ88biJVoM71WhKw3bNbG2dzEk/K0vu55dxLPb5F
9XkmzNEfdO9cyuE28dhW6yRtR7B50TITwpRrm4xwY1+2Qvhxq17lSv5d5Nr3Oi+PaZefROEeM6nd
LiPCcaiKoigulknFWjTzaXEc9gEMql0YoU3u7KVnBV7LZjSZaLeXkUHNMh+apaqOUG4/yjlCMZ1U
RTDHgN+tych3jVfvok5T7pZZabZ/ffL+B++U5iK2hE+Np5Ovun8435NZI77ALtIr0eR6OBTeHDrD
nAcEhxXnvjTGwBlAfoqkZHK/fGp10902Ta4+uIvLAHGa7mSbndUpCnLPeVKnfgdu46uC4hHUdduG
ZCwQibFmmC9c00WEuTmyOn9kKYJamMhNx+33cPneYBVLP826bzp+rnDQepD4ak6WWeWPjd9NB2wA
bMijaqdl7U4Hzl/ojPpK52MuynvpZEcJs3LpiiP8jLNTi7Pb6d6uH2cwbHO616fEwved+nYEzy0x
s12MTibo1O7OnCUFcGIf1cTjvkYTeY56mpWsnR6zdDA3no0EQZ/1azMlC6yxbRxcaU6INGPOLjvA
f9hZY58GadEcoir36D7RltNabEmeCK24PhcxeFCn0q/TYjwVstzzXCNfoQa3K+ZuS79ynWfFHZwy
1uDVUAQ2ccS+UbNwaNsbWvghKKk/2UFkj+ZsYqCa0lcPBnC6asMnLlAXEUaeNyseFX0lY2JTe6Em
DkqDRAHP3I+cQ0YnPoTnnNVGHbBgKR+RZi9EQawNLpCqvCiJAavXs6w/p479rKvFVlVnhqms7+dS
1/ysm3OCV+NrY7G0AATZSr9mmgBsQ34TNOon1GbtpWCbcvjrS3WdeP+hRLAJbIKwDnAXWfgfSoQM
INjUshu7imQaGNmx1eXmr9/h97JC/knDYVWJDscC08og/w+yQsPGKuh6cXxV2BmJc9epTPdpfdeO
EHLawk/tZutl4V+/5y8O+9++r39/1z9M+mWd97VpKMpFnat7XI4Ipvg/PBWf2TDOm4Smg7GK9WRH
xmGQUNmHCdZXUY0r5jUVftUuz0JxziBx4BqUybbwRu3NTUwnKNXs0XbLkQZ/PjmF+WJH+XTUCsOW
XE2VCOXiVKFbK0S/1wPBftU8H+TkGG+iIhGNIaARpmn6jlWZUDvVTgJO4DnoXVv1WeveS7NYEJvk
j6gn9EMZG9iC+g+ECXseSg9d227tbuygomZ7Q00UxE5UKMVYVXTwUvUBOaFjGC3WeOl0pycV3sOU
dB8jtlk1zCcu+q+mY37Y1emhNcl8G82HacmeTDU/Wr1AtLPSydLIYEPQs+GwpXXIl+zEFDyo5kgP
DKgZPGByTln1aVAZ8aZZeXGTaVe1YzhEC1ewGuZ9XBIPW+O6Kd1NvWRu0BbRpYZiHVvOXhNrHH08
3aOupoCrlQfZswwxjF71F2a6WImwfkrxasfNpVXL2wbRN5mu+G6042ABuhwsY+8gcAlqTXus5mQ/
RXCWh1ZeQe8xQUCDvWvNT7chmD0ipKexzF1cm2dn/Gfg1p97Zf+3a5yO4udCezQpMXSGzJfsXN2w
6Nk2p+YbsYsHwibPLo8e/10fMedol+r7+Isj4k/fHOHAz7fwr5c6ylhmszoS/vXD/VTlo/p2q5yx
w6UOrE111v16K0HjnZQnZ0sK2eO14p+fhhBT/PDK/xRX81ndHNNtdGUwifhfPs3vG5tfPoyBFc7C
uEwbZf1B5z+rIzorLUuuEvUGGOImVZ/av4k6+XGi/Pwe65bvp294aUupJEmR8HD9jFuCK2//+vT4
j9+Dg+4Sao1BXPsffpvsCBeEYA0Pb+Wm8bgfLGrOX06o/66Q17yyP2/fL68fn//JWrq+6l+dO1lr
HMiWqel431DC/qTOVf+BJ53enY5N13WbL/2qzgWVRy8Nz5NHDTL2n62l9j+Y+rND5gWGRhv8t9S5
pv1vS2SXgHcHJT6uPIz464f4+fJTVG3u9F6LryOvpJ1l7dJ3WKgLKNrAU55qqNr11HvBAmfbWYHb
VRnz6JbrYPvTXJHco2dxMo444Z3ihBcODxuL3org9UBjU7We15t+hXy70L4JGINEmXpeaKb1uyZZ
jvWuvOolewpteLFhhmuww60VIg5W4bvtFYFC8/CNR7m6r6je4nKMfCdap9y9JrYSLrlYAeWxpr+Q
8kCC7AovZ+eB5kOxzS1RJ1/D2H1imQEbjKY2dEWGWR4OusiTW6Dwrwt8dGVln3orMl1YdHQ5FHVr
xalLWHBQ/UmD6xzx5sJcT2Cvl5gfNu3ItyhXMHtXazcKpPasICwXcjt7QDTxLXG3HVR3K8tu1MqY
Nmla9P64ot+LFQJvm/WwIYr7HQY5yevaCrZLXGQgiYXeX80eBnjyaP3Z1atQATqjcM5j6d130OfL
UrvtqrHdZgWJDgqE+gRSfdJPp1oQ5uCMSbcxodnHWs08UqATRJcvNkJaMKnTDhoMKVmPxJ9Ue09Y
kgglJ0OaCzAfz1O2JQrpA4nSfIyHhIjZSkWvuaL2DdbtrMiMs91A4TfdGrlgFN3OK6I/aXpvO8c8
Tb2i9DbxivKvVqi/sJWdgPKvpA5FbPN9xvqz62JjVWQlNKexA2SalAConvihYPgTHBBBCmqWkA2K
Q9ZY+d57CSkGa+AAofNlWKwhBBNpBAWpBHbc1pc0r2FWr5EF5LSwRiLEQCXNII20PhzWgANdb+5o
/BIWpsMUZGsMgivxh6hrNEKrz6Ufy+VdtqoBFl1Snq9RChnga1+u8QppRtACLJMLAmAvcCf7s62J
tGo97aoa+wpvNJcyPd0UxEMK+D9mLqUp9n1FrsOwBjyk9FCbznWKfd9Nhd/FI3HJBELAI3x31oiI
scRqgoYdXe8aINGQJBGpCKobszD3oGFfvEx/o9vZOWv8hD51F6VUCC5Q3IaNehUsSfNGohw209Fp
SI3rPAyM89Iz+sZQCruOizcNp3YuN8ZIUkfyNMXc83ruCoYnUmVTMG1nozduWGi/jFXdwUhPkbV1
hI411vxtot+mM0IsOiFWcEfw7UKQV5znAg6rHHdjgSkmFWAzWuT4WhLbp7ZBANW4pJmB9X5YRHTd
2jW7c68LpKi+0r65143kUOnuaXDhQPTZaUGlotM4J0pyUTP05WJGWGUWWM/L1rxTBZoRjX9326Bz
cA2mPjSDB+HEOuZcPrgX77vRPCFS+7J7Z9vlzPwFkTsCQuIRxtervhZ5jUZESIMcgR32YB/Tpd+6
UzwRPZQ5ff9Uxc0gtlNSm4tPfIO4N0bZfaOVHZlM6IDGbbUb2r2Rutb3OBfWse/qIr4hFi92D32j
mN+j2NajS0Y+8q70cjLDvehJYzKBl5ydJfCIIoy4XvYmezTiCRHwjlx3oVXT9HMVvkhT7heQIWAJ
7X1iLxEaGYS1YxqzFRTRrbss11Mle38pl8XHVnFT2DFlNigW1kspx1Ne6KGMs6+4dW5bGwODMpIL
iN9wX8x54Tu1c8eMh3nC8K2x4LJzF+/cCA+fhy+2UZcbD9GLzGfLr2v1VZs4x1F2XGdYnLRRK/y+
j7p9Uygp11p0Peeq7s89AclKnJHihGIxP1Qrm78zqldHDAmyCtn6DgD/NM/edID+IpveJgD/VUNo
3gLyPzJh/zOPy9Fu5w/qdK6gB5T5fpUlVcuObmunDO51vCYJDEQKwDI9LmVPQ23oG0QVoUbBttHW
HIJiTSRwypG0RNzvyZpW0K65BdWaYEACDFnSeorDERfkTMyBMaiaX45o73S7uUszEuWL1jlH6JXE
mpLQrHkJyIoemkS/MtckBSsmP6SF9OgRspDb4kYQuqCAu/eFaoNFGN6zkVyGcSpO45rUQE92iurl
CQEP67D0el4zHXTCHeo15UFm9Tb1VGIm3O9M89MdYRExS04BDhKXS2Wkhk/QI2lvRYAj9d7xcgMd
uflpD167HdecCcPtT9maPIGdw+YvTuy92qPZk04h0wRnAIEVnu1wPuMjyQfyfZT0Hpj3ayOdg44y
MQcVPZB8kRv8qlUY2K0kFMMhHaPU4s/M8/YWDDWh8NWIHA3kHB81uRqlnux+lFH/rSdNqu8/ryeh
L+OU9lu5/LsqcX3lrzUlRHrMW5oFaBK8/I/q8F+OL8xgmmOvmxLGE7bDq36rKeHj0tN4eKDZBf0c
+mtDuFdBf2D5QuqNl+zvCBPhav2uh+Nf+oGjt/BdspVaP8rva0qP4Zkdu259ja1YbLXZJq2anTRa
nuopbQ2XqDEYsp3e5n6ROxB2rP7QWNrXIFR4xtiQj2NBkFaZkH3Uq3IfizhcASlIqAAWi0pmW8nx
mTnZ2xhBFtcGFsnsQRsEvkMVOkRTAu+YvZukKR+t1iUGc1yTFPPlPOfzYxzjfVLTpygzHkrIWdeO
FimEzmrEkqZOHKqTlh7LInmKzDjHPOLdunk/sZbRPzWlZbSuK+ND1Xh7bHSnrJ7mrYqaQummu0Yb
rydRFwfUZFdDhRXCbHYWq3t/sKZz6bT3CVkWm3YWl84idy3ujV2ueokfxd07u9kFmnM8hM4yA1tJ
yfJMm3uTiIpkMnFsgX1gXpIehsL5rmkI/cZpvBpiFAfuEiP4YhYhp3KfCGgQUy4TDrA88KB5RERe
7Ilh5kcj0+FUpKy3Syu+8ur06Ll5Q92KAq5XPrKs8DZp0ziUjOluXEbOvchpEYnniKkIZwIpamxl
4d4YcYWgE6lUQcAJEBLjLuNxIroP3RVfkNlDHKkUvM2aUaJ1r4msTL+L1lhfp0cmx2ltrA4bw9Yx
zw6odgqTqevc7V3h3SFuEzdNqV2aKZtCtdHqMLUAqsAP13eLrj+Yyyp3GKjDFOsRd6p3bIZsnzuM
V+0moqRDH+FG+ZaV4QlVILQZ8MmFisum2orJk5yg6ZNnduauAontR6towiua7ZI6l7mZn3VRbs1q
+G6Oc30ojeEOMATmomX85J2ncDKKT3xm2nUliIdptPmG5YrBai+5eFKJzniK3kh5YxLdavqBB7b9
PVFKJ2wcRvuo9lB0q8vWWkndLRk3V0BZnGO9crwndOArjioG723U4KQs2/0AcjwyJDLQ4zjbtp72
vRGRO83Y3YjaF89E/2LOcGSwO4cNHoBa5vt2pOqRFj9iN452Spksj0bNswQN68jI2Ll3G/vUa/Nn
kTR5oOXWXRGxIrMpmdlqXa2wM81D75bbROFVXfKRLbV36IXzMa1FOJqTLrAGqjihdbc90g1uxEsE
VC1w2rFGRdFiU3bguuRmGIvF5Ap35UabZl4xDWhnxngG/xN9FTVxfe0sA7Ps1WvoAcK3JRZARMGn
Rq/UcFHtZk9pHvwPe2fS3LiRRev/8vZwJObE4m0IjiIpUvOwQagkFeZ5xq9/H+R2uUoul8Nv7U1H
R7tpCASYN/Pec76jkP1CttFFH2n1kkylp4hUrwX6q+YQGIo46kif3oXw4ttcGOxxOjkqc7IWGrP/
qtOHz2gmu/59dTq+VGGR1y9/rU3z5/6oTTiNYF6RhSLpxCOdp3/3rTaJ38DB6MSczhYkm6rwZ2nC
pg95y5QGauBZjfBNqEAygNShCzDxNwx7bpL8C3CHPqshfpgQcAWSV3QKk45qQlM/dfSiSok1e9KC
Uyqw3h0DjayLQRWBJDEoy/xzzh75YmpL69kKjJ52nJLhN+0HpX+qJru+dwIjv3Gc0Jxcwj96Qn8y
u3mo9Vbl5ED7YWUFEW7HULkfNNRmKHENN9Eg62uDhbyJ5GCSjNvOuvWT8aX3pxeypo0FrW2rlimR
bWKjJWl40kZO7MCbVkPnkQFSXdBXhu1X4+X0K+K8fDG+xGVFI7zHXMqYco5GQms/MnAjX1jOoUbD
HGwn0UE7O8OvqkXXe9sita6NzrxOQ0tdxjpzMW+4nGTlL51OfYFwc1Po2nMgMWHmXtWvswzxJ9Yn
AmFDJ3VhebFKG+Z1ZNmHTtaPWgpa0MqSA0LDfRvEHBQ9jWy92mapqRBtpn0B83+Kr7uyuCuNqTjq
FT9/sO7qAsnYwJ4c5SKZJzhMEzSwjc4of0CFemBtBZlQPKKo7NxaFcWyFdX7VFcjJXkGzNftNqmj
DTq1rcr5qrDtiCOM4xoGlYf22ZrNK2ox+On8USpazk6a2zDjvxnd0C4yJ7/PgviNjfSVNIKlLJJX
NQ5urRzxbdNExoFM0x1O2KuwmGNxTJsynYKC9uEO+jMJIU+M68Cybo0KyiBTgDcrz/YTIodilAyZ
BVGcWUa4C32CiMI+7ME0uY3osSLn2SYJUR1qRovAWO1wp2b3kVUz07P6cM1Za2UVpEubFkr63isW
gZBro7S7y3Zu49hjDSC5MnZNbKX3iBGGZRW3V1OHQdXUAywSLSJHhcDNaGzvqjH64nU93fsAeJxp
iLVdyQc2lo+257tapb4kJDkshvnPEN21Msp16U2nBOEl7SsEqQgXx/wSgfohceLzNFrPoUXnICPi
cF0NBLUbHHABuox7/Bxsx8zokGv5UmKQXQSKfFBsemiNyW5CjQbPVapwHffxpVmkJyJi94Ckzl1N
F6OZbdq+bawVvXwmmYaIVg2pf+IvrJwC2VmnMSTVErvuXnEYOHclh0OvvpWR/YVMzmNlte9wuG7r
xt6xST5EXazuBLmTbpM4NbmSPAf8U2+J2vMTmzCPySHB1ppZJ26eSPc+eCwruAKqSE+ap54ZssDz
j7/gdXHZmAiUt7hfUz09E1wgOZQFezIOsofAorGejIm2UESW7JWkLVxzTmDzoDK4dgrqDEz3CpvK
lVp7j+Q/jC6mzIrJHT4GOR2SrDm2Ktvh1njqrfSl0VUy/7hor11FRbhMPNLfCDGr2cQYOlryAqZn
6CXHljnlIjMkGuk4WxpaPM90oQSYwYXTNvo+VKvsCq6vV18MnTrLCTKyETR9WjpOib4jkg9tylbO
z1Pi6Utm6+syEc2GZhXz4ywHzjMY2nkYjQumCOplwA/L5Zmbp8xOp4XZQT6iyzI8TGXmX1eqmuwj
UNibhq9g1SdKslVxYS9Artr6DKjzxaKzmmDbKDq+ReZ5sLgLoa6VCHb5f2X6o0ybFLW/L9O3bfJS
vf+1SM+f+lakSSSQqsCfpmEhQ1H3Z5Gmfps28wXyBMG4fZwS/6jSTB4owTZSP5B5DCCYcvxhBzZh
90D+hepDq3JGkfybKg2S8FOV5sJwggV/gwrHgNiEHw+QvofoJ0tziJcJIc5D2D5XI+2XOEbSJhA+
jFXyYKroRMbcO4aV7JemygCiyrpzWuc7slAVfCEamNWuXNZKuEdKdSSZrycDMbwRIn7rMJ64St4h
VVcI0/B67ZhP2GP4wfpuWs9HV/HQT9azVhuPDlI11DmOsfYSkskchfBqlqdV2TOr1iplYfsgGcIi
ujdl9lyM+V0XYNfK6Qm6nmXdV2VDglr20DjKg5eN+8CyT4SOHLs4ODR5+FznwDxD+r2Vbr4mji9X
KTfGmSi0NpqWX7Rq/pSOYlwZkc4REbARyqF+K53+btQK9DNNvzYMkkm0SKe69SE8CEW+lUFnLmVi
Heomue2xzTGhNldmLK8J2H0ra+eMOhG2fkk7VPhRs/KAEMiieyQN/NVr8ievhA6eZ69YJOmCx5VP
KFpvb2uCRf3C2YbzjCHynxOt6VZFIgskYCyPfZG/9qpzjJWxWZLG2iMeYb2hyeaswxLwByToQ1PH
F6XhHaj0jJagYYzk84iqv/DpMvmaeT1O3dfQiN7hyN/qob/x9Okx9QnhFTZ/JA/JEZW56HsIB5rA
AKYhOryyuvpIUPjXJHLypaeITS48gSyLQXEqtAfDN68NZI1LGca3hq99bTWr243h/HF0ZGtDbx9T
pd3WxL0vGOXhZ0BH4rVNtLGs5IkYpBj/Y8vpyCRjms6F+9FFBpSM6zleC9hljFnEpmyCHMsb0522
4Kmljda7GsiSdo6SLye5tsKaIKIauwKODBqYsQ+rAX4bMsdrlJ6bPjPXLfJ4lzDz2TxHN100A2e5
qY6WScsbhztZceXESzzWPMNUK3yYE9MNwDaumklU/N0aWd7NJPULQtRphWoJPJvS85d+wpG9a+NX
mp+PEpPswraKL0JFLJHlnouGZlj0IiQPqaItogRbkSnRUrHJ2REi3yDU2iCbbN1aKM62AVSx0Dv5
nkblATdcx/QkKpiLNMxlRqYxzDIQ8g13eWmSdYTkibcxXWBs+sKUBfddRQIx+8LpzKRa2xtk1i8H
kEX+LtGcgPDjuH8geb7qVpUC8eaer8FrTlpjEydkhVBVLC8V2a2NZ4p81aaYEO2zkwzQ9qb2GaNr
aJ3HMgzOejn4TyFViRpq9wsjMLzLokYX2VgY7wgxF6a/DdBW3QQlRC7fMYcrkSgXAGdCfTX8zv3C
LI5Q0KrLXftBBis/KGG0wCCG1SNqNBhi+e80sUjXHuNeIEdMsqJlnUkC2jKW/Sr8to3cGKcaBZTO
hDOtYE6aJTIazfZvxQemT/M6H9W/zlEF8X5qec+xGQbGUWhVqiwSZ2CH8V+5/P1US3X7+3J5fM/e
8tcw+0nwj8YH/6iYGMEhPhJPr7HYfWq5GvOEf/Z0Q7HHJY7o7H8V0xC/CUFTynGATGi68X3LVf7G
aVcXmMARBvybaknH54dqSedWmLpGEB/VF4mB81mTZoORknAolJOqJC4WLAa2xvTu9UipYzOxgAMT
1KNG62r004TA7KK6dniLrjS7U8g+sfPMvvYZBUqwTyORk7VaPTD5s8dXrJX4DwMvxbEFsSYiMJO2
rZywUtJVqTlqb+j/Ql+caTfw8oZVVyjOmq7XY1bE4tUvoeOU2lCs85mY07ewe7qZokPVG1b6TNZp
Y616Lj5oOzN3Z6JmXfSZfRFFFfn1UDOIL0XdBa6n1dovKb7sRTeTfJKZ6ZMA95FAfsaZ9pPa5ooa
3V3KmQSUVpG/cmY6UDWCphpnYlAVI7jKkUHroxOvJOfahTYThiZaaRr5KWdwzBwvxiZ54qw43qjq
Q2jUrFgKyWqlHywJ4ryKJuy5OPeOo+CkLzlJ9CgZ6pB4amL5GLqTjCZnGpI9c5HwD4UX2QcraaYm
MYsUq9qcUUoV52vOH/CVugJJOo9FOWGIogiAYYqaXMfUZlAjITTFXT5cTZxy8AYb8dUAyCmfiU7O
zHaizPGheJrCNScmGGOuniWQ0mYgVDWjoaYPStQwGHLJ+JmNSoS/GnpIVng3JpfddB8hnLzY2S6r
uo69P1Qnz1LkMTR6JJ+N4x3J0KlldlTL1rtS2+ApCUwiqDPrxa+QkfZA+1eAWZ9itfFXXlN85VSe
uo3iH2grprAWx1PC6BrLVvo1mMwl+r3mNKYMq1PbsF2jkjER5SDFlc7aVV1pX2hmobpdNN4EESAk
LU03RsB/OBWz08FsJQl2PYQDFvSeP6D5YB9UXa8Zx262J426DcsL3MjZNGtmkhUzX1EvqCyuVlNu
iyhpDkAKEXDwop1gbljrqjSJdDI48yh5jmJhdiXLqd3oQfKcdDg0GAy4uKzri36g75t0vro2DU9e
QqlbK6nzpik1mbrpVd62d+QWHuvCRoCqKcXlqOCU1iwApzRDt7Nff5E2ZnIrIs9bSfneKMM+TFDq
GvZhDHJnZUfBphzGlcVclns+yTE7mCkMh07Zm2p4SAOmemFresdMMqhPrYK+fEDtGgd/VwZEzUXd
Ni55SDLg6NyHqFUjGw9vLF/8lnSmxgpPNGLJLM84uypNl5JiULqqleycxlzJqnpJKzgnyNhBSH21
7JClJV3TBFsXcemKrs4ZhIjrou6XQRHt7M7YO/3g9ipRu0GDYJPB551MxIkex53VCclL6uQWOiPH
uoCS/bUo1Wtzand2K5d6mq6sBni7CIa9qcRu1HUvgaVvLAp/7fsFucbyXMfZtcy1NyfmN5wm+nvj
jNcGtvdlWhY07qe1EhtuwTNGaQwYDnk2kmq3m0SBqjx9hbRy28/voxpHO+DP5ykfTqlk2BzN85N8
a6e5y0LKOdwUV2k2kO89uhri+8xrlwpzJGCiG3orWxt1a1pEW6se1oo5i9a18NWSLb7iYqvAaotx
1o9FfsoKIVcZuya1gcQXtf5Za0CHdf52oFee5soBkc+anT5DWAAP8eCW/EQ0A4wAkHnDEa7XJO9V
8p577TVZ7byRYjsKi1D67NFE5lFP+lI1uEaD79UjxtyQN3VjrenyMaEero3BuU2iSWO+ATqMlPpN
arAF9xzeQE5JuLrW0km/skUCnh2sUUG5dSCXlgRq59fBTmd0NEzVo1AbOhLyxrKKRxnU135HhE36
lhFAUwqB/Ybtqa2Ha5JB1rU3zilXqwATra8HVzqhH3mnX9Ob+aoqDUcmMfs6F4UQW8XptrJW1iJI
biLizRtTvWP/trA9p2YPXqw8pdvXol3zU7ysHblW9fpC90YuWK78gi9syJgplKSw0e997dv8kX8V
si8IpmNtFORPw8q3g94dMzAeWe1mUtmzWdxNio13yg4WXRWTW0mRCAqvJL1+jAkVszecah7SNntu
AC6Ohb1DsQe6CPBh3lTbTJo7MaR0Mk0Hs0H32FfiIa+ia6LrUDEMNGdavjtn5WfN1m5M3k4bZmt3
BaJ5X2AQ6JT2JgntrRy8E2ebXWakF52nHpneyUXWhus0Gc+kkSAI4ADVy6uocg66OjwV1nz+RQWs
OfLOq6yruqpPWW1egw8UC6nWN+1s/8dvu6iYjxA+eUhM/yJBObzo0adV80I15Y9j3Oy1ytwURcAv
u6ed3bt1P/fyM2QK2V1VjBeqlu8V/MwnxRPeF1BcyU0NmsidtOaiQug19b3bgddUlAgXtXUXNSlK
gh5HPHyRJ/A1NDhjxn1gJEP1zWLnSs7BY1wFO6GpJ9ZbEFBVvOHsvjenWSGd2LE7CfUpMOti7ejx
bVqR4FYO8SbW1XMUy4jmb8ExpdfXjLO3Xmy5vaakq3DK3Q4DIMcCwrhHbc79Jvk8OyNa2kTecDFg
3i8UDGN19NJwcpzZuvwCajRenU3wqr+qAgVKPTuEuGndNKFIQADddhyku44U1FBs/M5eh2JYZXnB
+lOjcvGHaT2k2R5Awb5qCJRD7rOogIow41s0IS2GoFcuMkJ0C4Fug1lapeZMh5vjxEShrorXVs7+
l5ohZDIcOwOBTCoof99taX9inpz7Jd/5Bz52iMxC5ubMLKn+rGNu+qqq2jBTTiJFyBYv8vhaQRDy
64vM5oq/XsRS6SvBStS1T0pSNJjCQgarnAb5pUIM1j4NOfDAZQpR7NdX+tmGly7Ttyt9snnkHqiA
yeNKmrwMDLqLtkqoxi637qP2Ocyt309Gf6tJ/+m3x68J2ym9U/SP3Ph3Cm0m2q30ktw/d8pz0+5L
/zVLXv/9HbFbZrPMZXTjswrXs+xBOGMRnHHlR/2mHcdVEiDk8TfhRJu0+YcYjp/cEcgjDi2gqhiC
WZ9cLLMeUhtFE56hgC9CHUQZIPn4H+7pRzPOx7Hkh4t8Mq3UntKYlsdFIoZPTXWInGD562/tn25j
/uffPZiumZgYgDo9o/+0sDfFME7Qkv76Ip/cEPNv54fb+PT0i3ikkZPW4XkgCRJ7mBOeYfazwD2Z
zMLqkwaV4tdX/NltoUOG3mpa+Iw+K/Zjon1CQBjh2S6vSuG76Els7+u/vwZkR8sgoUNjGvvpq4MZ
oliyq6Izs/0VpBs7y90+ufv1RX721RGp5DBsVXWboPQfn0/eB7YdhkPE83nKrEPASTFiMXC8m6jd
Gx10Ru/q11ec36lPaxBL3J9X/PSwMEJhnFRH9NYDlpr6AfT1PywG6o9PZ6ZdmqptYHxlfkwz77PH
rM4NsIuDmp6jQ7VrdhTPI3jjlXkVXJtutgrX0lXWv76rHy/5+y/p+7v6tN6hpE8H4AvRubNwSjGq
0xwWhXz766v8/LtjLi6onCbBOD8+LWtSLbvBDnb2SnqqSGsBmvz6CvO3//np4IPgbSMee47/+fEK
BcB93AZKdEYjAlRfY7f5HBr+wo+if7iXn31j31/p0wLHiTivmABGZ9V8D+SV6d2U0z8sbz+/BOw/
1YG8AAz1x5sJyROXxuTH5yw7mViUBjr+Wmv9Q6n72U+Il+3bVT49evqeQTP6XCWMXxMFR6iyqgyk
Q60bN2cl3iTmPzyjv9wWBFZmPIZAc0GWivFJIKE5nl2kdp6cm24Ddqu3VuV0/evX4C8v2qdL0Gb7
ftkmdZQvNCiTcw9fR1WICCE79//nErN3Boy9Q5/tx0tEw5AqjCWSc528KtOOmfo/XOAvrzL3gFjF
5HdC4w2D2I8XYOm0iW2a0jP7vLTFABPtQrrqmfP+cSP/KWHnFLu/78re0Al8r/46xJw/9a0lq/5G
DJCKt+obg/Ob0kiFiUJHlkGkiuNN8ob9McREnsQK5EgLD68K2ZMH+8cQk5YsWy8hoN3R6Z21s/9C
avTXIaZps7fSKBQGLWDO0fMv7fvdCbg0jADOeKLK12uhJNmqNgSkq1iXXrmXAg/KouxMgJKmlxUk
HLQ3oDs3pozRzM9ntzAQ5mHIBoKpIgB/bW1cMDQVbjLqZPao5MNZOV2+AW3NlWYgtgAtrOzT0Tc3
dZQ/OpMauXQnXrMSdh55RVdpSBqz1+d4qooO/aZvnxAMEWGQd6D7Cg5fYd4jdJSg31t0i26Walex
riS7Lu3xA3sm57XA3Co2IyKIjfVOjRk24ZvKTDcs4mumue99XN7kM04t7dH9gufdRYMyMNhLEkjp
TnESLWNVTbt2Sv4tnhofDSl6tAvtsh6gGni9cxToXUtdSxBQdVcinu7TtrhzonLPzPGZkJZNVKT8
sVOvcZyPDpigMU305nEq5NvkJEzFwFm6Uuv2ow2TgSgUaKb0rxaBNawdzXuNA52ocpmvvbxe2Up5
zLTiMQqRENtEwrphkFar3hy/TKF2qYYwCnpZXIeBD5kq0ktaUTp9543SZpw+Aq7nIetxywrRC9l6
VUGCIGYa4fQbTTT7VnXWajW9T1KGK9PuiJ2AamJDTFnUNX2HrGVQbKQRlmDZF2DsgIvRyXwoWgQe
tOiXJaSTbtBMZkzvnm2tNK1oXM3zX7CBf21tss7s2MyWjTEhtxZNAtRYO3vVaDHZwzNSRMVVUE0v
EkboQqUr6wYJp6Rq7i1nVg4wpbmPovyqFSkcBqugL51E66lcmwm0vUBHtaZaV0PvPzRZ4SyatN77
nMuXnQIQVFq8rrJGyxrGfrO0x0ls7SQLV2CWgb/6UOvD0iHJgdTs1C/dsrb2Xi+rJSyUYdmY4Qsm
Jd9tuvzFHoBX1gOGklrxpi0jaGPZ4yjBcWZwGNLwKAl1KpaDQfa73/g3tscMdkJNDFsgPTZePri4
34HsDJOC+JjeDqLCfaL0V5YaPGW27i2yIZUrs7YOqaVt8fwC9vAdjDQ1RFBFIx0+QDI0t4qtgvah
SbuQyd1wygdlV9H4WYx9/NpG7UOU6l+KsT9HRktOgZ++s0hdVpoPp66Xl6itxCqSdAy9OusOzlif
9UJ/izA94lQP4OSMX/rIuRy07AbwS+Sm5vSUlA2IS8X01zi1IixkqLUaz3oCKnel+XTyoyh+jyZy
KkfNow3Z266WKBZzGLoYjo+fMfBJmiBCZaUU8QPu/we1wrhodWR/iOgZ3RQtloawxyJHUhbm+hEV
0z2ayL3qdxe0ATFYDyYSRjCpRPm6EAYRriMnihzlqSnHjR3lh7xKmfHbdKUC335saAVhWtOdbVfY
DiZB1Hg9iv8F8gLjpMW5BD5Gb+ftv7L4Maw02OD9oizmqB5fflIW+dS3sjjHAZHLBQbjQ2hLxfxW
FvXfTDQ/0oL5ytnlewWuxAGiGZIWhGroJraN78uimJM60f7Mg0+igv5NWaQKU/Z+PATA5SCUiCw+
qbN1+rQ1j7MiYTQYMRfQzSpYz4muaOGs9rWK2lVnwM0SqRdvFQ9TZaQ6917DkdGraOJSZL80aXKD
qctZaEJbsomAfVKEX1pF7OquPMRK5LuVyZgFoQnsJNiK9A2fe5tklVqjywhTfkceiatP4UlvlF0a
OEcMggu1ogPXelHpduOEvrKW2wyg69STK6I3y6a3cpQQ0zmGd+VC7bvW9OYJdC+lO86uCMxT4WTD
YgzCyvU65CZlGCLBsPYg/MhYfQZg3DLCiK7rKhKLqoRCmJp7On24WCZQF3muHUVhnODNGqxxxn4y
Cwwk7V7W3lvhQEzRqJmjFV8ZA3JYP/OOvYFO1deUJ2Tvq5rh9Qu2knHRxwxR6+o+1MQbYH3GMIVe
ulaS3A228taahODkCfCNWB7HxCeekHvwRHwMp+KFTUO97jx0nz3+ODfQSnOTIYL1hgDck0zvxsI7
1W3/nFoMgmNbOwyy3DQGBB7Gfdmik+pa1v6m9Ah70hi4ztiutleFO04O8lZnPdfovgs2opGIemV0
laWCZNNsAMQzHfpaihVq18cwYIbTaWW0QH15X9bE3qD9ejSnft+jSsGinn7NZXVkYu8fghgnS4CC
N2usVV/jiGTWsq09xlp16d9qSYU0NQhdaTfORW+hACFI8C3z7RvfGzdQwwZiS9KLcU4oaXXlfSCy
ZCK6xIqaB/63bTZnmhidlCvEY/UiiBqaJnPyCREo1iGf81AcO11abDMRbJCVYhOakqrlNrKrjdWV
0EnnXBX+j0e1LVdFzios5uyVjhAWlTCWyIyfjFHdOD5kzEKa+xo8itsAxUQ/nF61c6ZLSbiLMae8
TOQOjAHqcA7yEtJ1RaYw45JoTofRiInRiIuJka0mDmiuGL65EfcX0ZwsE1TjZUXUjCBypsFyRRLs
POMnKbV6CLJGXwYfGgBEzPa1xtgKaYCcZQKicMrr+kM7gC553aAmgAWLrEDzvsb+8O6RWe0GeeJm
c+Pazob72qq+NHFbUmfIYPedDc3mK5U2lkSq7OqWsywGm4GD3UFDEhXlrrlUQcdxcwUmGWwj+hBt
82ZghOTBtHUSG7l9V6cuGJUlqqW1bo0vyIWW7CCfpSdXNE/veNAwtCIFQZdyyMpgE8TKDpU3RD7V
9aNk6SjeFtoRNDS6noMsoOdOF3rRPKhlhdSYrEoNoGYHkmmhh9EB5G7sNjG0uMHe9I5FcnTKA7lv
qmgzDu26lQw/0nYXKoDXY3huI/y1IHQeU+o0G/jg0BWOuoTX6jAjsNrFFGO2LwVcBee17kmoxzs9
DnaxinGU68V4NNpo11czx0QTFYSanmdrLjwUaW1dYU3vTviMlnVk3MJ1ThfOWB1Is0c+ZWYrAxc2
nk00vMO824zFjdl67yWSckSQ6a5BVejWdrdVfTDqSmluDVTMHhb5fQAcCgi2XEjAOoHRHns72xMT
kEFpTQiFkk+JPjN64bLhMKhQfzl2ew6t7kFoxW6edTHdtVegqVj/hgxagpVf663TsD+vToaAuedH
21k4WYTdpWdNt2WeL0qtufK09gIj98IqTebQhL1Mk7a2rGqlK+ouz+FZoT6cWIX1tWM2e5FNa5kZ
netg7CkL8SXxam0e/T9jw8Y+rZk6sm//rM6bct+/Uid5cOTYudOkhGsLkJqAC0fUSeDGhR+tsMo6
wOhMoheD4awnyjpm5sYg4KuuTesshXdoNauaMLE1wCoQYwqahaY4N7a8Q5MasGkzoYKnprMaIi15
jBlLLv2i+xrV7T4YxH3SZjuUHIfAqRHlVeF1yxxWC6uvJCms2lYtLiG8rctouotVtChQVu9ZgVd1
Zl5VioeEUDhPilU9DOWw71M0iXWb2ri3JJaBYK/F7OMH88TEa08oFsu4MULmxbWFZbwcDYbTdXzf
sfvF4KVkaKwnxnxykKtEhND44UGinUDPlgdvRqe3yxGZyZxt/uJgLVcrwE5sF5ALaup6qBhDeHr5
1W6QHDpNfCQqh+VyHLIlE8uHPNKwP2vXRpz1iw5A9BDUrwTaLxvhXCAAP9XWsJs01q/Khv+cmdnd
MCr32KJvkxAgM6zdZZEAG5Bjf+piYErGJG8mRDvIHaP2qmpAF5h4DbdGJryF5XXp4Kaq3gX/QPz5
GOb8uT3Bu2qTD2wLzTLxHc0t+B9P7XVJU2x0dOek3qSLR3PdnUsXNZHrvNxe18f8gnMNUeXhAZHm
MtgCiSMqbhsd/3NA/5/fgbgGX+gvNrjQEOnNtj/Z4vK5b1tcOj+QbGYUoUUPbk6U/G6LS8NPkJ0x
m7y+l68bGmI8B8qNZYC5mYXl37a46PQAxdMUoqUvUB/T0/8XnR+cCz9scXmH2N067G6FRj+JP0X7
8R3CClajloYIMFTCXmcdJcwoDPJ+oLVDj2lJoZz7FaIXyMAhvQuYepDJQjvekW+ZPxL1Vh+ZPcwY
G71kWGIZW3No68s+9oq3ovHSjT0D64PEZmeEuTd0C0fBGZOqynCuq7Q5lVFkPCkCCKjq0b10PU9F
aJ152WWMdPuN1MnrcUhYPFSVRBA/AO8lrfQONr/5hNapumE1bY9NHdg7OjzgaO1WideqOeb3eisa
8qhr7T0ntOnRFEm29c3aWSIoq1865gsIP2h02BXtDzvqq30bdMVVP6cntCS7+KFfLLteNboTE3ej
e81rPzD2KpxWkAVNHrcbdWpa5Z08whm9BfkDhAjn6OpkBwUJgqTHBcjCnJlB0tJ/nRrCsRGFO9jO
EbIbuKXXedJLG4xRV7CFxwmQhHtLyXCihC1H74i9ZbrSemftlN7wZAEueRkV2yS5cWDn5weWeTG2
1njT9Pn0wnkJjDkhd2Lv90RuhT6RVl7R+V94k0LoONP04tXB9G6FwyNJAOvMDy8UG8Nyqlqd25tE
eShF77O6qe24iUcEKD4yqUOcD1DOGmA7C6QkCnyx3g/XddqwBSCwp1igtHow7BA/uaPe6XEZbOHw
Ia+i2UTzqmq2VlRbNzIoKPBK49wVorQuB/YYBHXNdiWtMRmJ1iJ9r6F2flEQjV/oCSqiYkhPkVSB
vzbdsOkUzOu4dcqyWQ5eWHy1ySzdsdnPri1V1jtTYITwJ9VeTg4488GL2R1h8znWShk9qZ7N7HCy
x0MdT/nT1A7KnpeXQ5Y900L8ynuUU9rfZTNvv82H8EYJh+IczKT+DN4iLjnD6DAw1oa6IoMzoOYO
Zg1zdqTD4eOB22qd9u5Y+OYS/cIeev0KpAC7NFAw6nsxpxuUIR0bp6hnD5f83zDhvx68xsL092vx
8b16facv884EvRl3b//3fyv4/KlvKzEKZ3Nub/+Jm/i2Equ/0VCwDEw8NpPD72TROjBzmvA4hujA
fyy831ZiffYYwRFn8dax/QnH+DcrMUi0zyuxJIEc1YYEpqZhTP00B9IVrVebMo5PqiAU4sJpwkK4
YZcaCsSi2CaIwcKA6rZlVF6pcxgICHCIfNthtxNetMlmrNUsA23kPcpKfpBhd6vqRrUXQ5IHj95M
urEa4mRHagK+oRmDA7TCJMdvW2gmQFBgOXk8ngYl6Tgmai8ewySXHLt9AWAnswbAliB32G5vipnB
08rhHhzZm1XY14XOoSrUp2LrD2xEWplvjdq5akD6dHmlrWgY877PvJ+CLumdBwJIMXT8pGIEXzyo
JwkmqE/ZD1ojXWB/ZggNldx2VkFsXUxyiKU9GTNvqM9Hei8zgyjPy27FQD/aFnoKDJseNb5JD6RQ
GTy2MQtEZhbxxo+x602zcU+fLXw0qXHz9bOxL/jw+JUffj9ttv4NswkwCMR8zMEYWM8WQdxd/rXd
YBu0ZgNhPlsJiSM3T+FsL/RVjIYjjsNyth4Gswkxm+2IVglJk5ydeh18uBW72bio4WD0Zitj9mEy
CrC/jB1Gx+bD8xjN9kcMPPpeFhXqq5ROLK0gNSvDC8NWLHXnxKi711ofU5TtWP2ilrqxbFs8XZTQ
Y9C1C+JLwZDEzA4Ip10Y/rQWZnplENLau8OYk9pcxe8Q8R44ox9yASottftNQt/ahcRyrByFdZJA
qiANl2aRXA9BdlFo1ZOmxIeoh6heaumtTgleNYF8NQAOab59SbgbnYygsWP4cSN5Q7re6QQOm0E0
HVVTZPQQ+lVckOiuG533/9g7j+W4sXTrvkrHnaMD9gAY3Ekm0jsyaSRygqATvPd4+ruOqtVFlfv/
mteko7pUqSTTnPOZvddGWR7uuszHcu6j/KM3xkQ2B2/zyOrTV2m4SheVciEtuZabQ4yorTfU37X0
AyeEdLWNZ4TjqtMY4WcwUsZ29AiVt9Cq9jHrFKY5hBmdWzFknqNawKQC0mMICgEGxn9JovEiRO5o
I2JaJqokCFouhrPZ7DdTGPWeOqoE4wyQVGvIa1MJFFxlNcKV2S9RQuurKCUeS830ZzFqLKmm4o6x
HULCicwUP29sUBJIR+BtLXBhuND47I/MD97TgtaPbxcBPxM0ZsQFnUUPMvUI0tXOXnbNlK0KjZEg
okF37fDRZ74WeLlatySBWy1yCgVRNhyw2C6SPelbxf33Y/Of+0P6Rv/8/rhG/UfdRO8fv79C5AN/
XCGa+W8mzkjrnB8z6R83iAy94PTmCHeZjTN5/nWLi+WGG4VJNhcIjMzPyRbGv2kJYB+RF/Afz83f
qOVduoxP02qLyTdTb9ZAliuYmpOw8XMpH+o5ot3O0E91UVWlfVQIjmIT47LIzVTPxRF4cTvdSLxQ
+DS20dDNa22aNBs8NucZ+vf00hWAXIaMDZJl5excMEZ6g97khwzm5t1kUCV1DB2POPGKtxYz517P
huTO1CidzSJ282U72h++HpnbwnT8NWxzyUPGjPMcss12MU2A4qsHZoJuukl0bfDmNCcQthdEpBvR
fNUbgV/P5SjF3ULqHPZfTm9ReaMe6wuiUAm5Czlpsqzz73VKsGtXKml4pzKaDJpNamvVvJvL0GcM
jEcKnppm54HOE3Zqj269p9siJWAanGJ6obvub+tacwZ1wTVlgnJhQHQWomTkYkVV/KDEs5VR4Sa2
zckjB7pMvcASWj2CoKTrjJ3ZE4QL6Qf0+wzoACmy05YQqHOLJKS+dq1DXxr1Cwh+AEJZCD2OvXiD
faTq4a5PUW4Ym0kDuz6FlCYeAJrrrJGCRCUJkryw47cWP96+BJhNVhe+pp1TMf66wnXW1lNt5WTl
hHwwh1PmplOubP45Eb6vr2QB9ucnwvmlfPn9YSAf8+MwwGYncz7YPyEXNFEmfursdSJwOA3QbKhS
tMpe64emg+UVcwCWSRwSJKzZPOpXTYdmEScNT1qWqayc/k49acgj56fjAE0HuzBTlq2uLn5HNmNx
k5kWcOxLWTbsUvWWgajLvVRa04MWVxtf3uADqW5+2b2qnQ8oY6RPGc0DC/KU4EDlQVrSVWs6WTMi
cgtLjU5OGG1rdBFwQyffuVHTgPAnrdMxmKubZHRPg2Edi6zYOIG77WL9EqtMYh08x8s6IG+KS/lO
WEXHbF77UEROijPO2qQ3g5MtM1nZBvsLpwI9RUMouSCbjMRS1aK9KnXn0S6Nm0ZPLxblMWPKvMdo
0KcgDaeNP+Icniz3No2DO5rfZU5GhDdZON+CtFCpEMyPoQji0zx3JXQ7nmey+s2s1LR/MH2psLaZ
kqhrciFrDxlGuGpdIv5w2ZT7TgWvppcDyhadL2kSVkReWbTk6WuA7xqbOwV332y6qkZJj/t6M86o
KmyVQJYBxFWer8agdVEUhF5tptqOmJmDoZLopUHvxWjvEnigYsFP4OYmyEDcQdxVWiTWE73zUoEt
ScBBbXJKi10+oC4oZsb8VmOxqbAR1yQGXrq8XTat/9wEzn1MXCvjfmNrTv4HEjom5JghHFdg/rVi
yJEFQBvF5JgOfVaASabeTw42Fnu0dlkOkdYMyiv17xYvnr0MLbmXmJtqWUSNj0YNDQ5pFkxlY4zy
OSzQOYymVeUT2k106lut5dhGKo16SZmlekZzcJ8kq9CCFgnHOfQUmoF1P6huAoxEzzDt+flOdIq1
DVDYML92kh37JW+0TXDLpkmGjm7Hm5awxGpbN0Hh3zkAfvca+7FAKcoVDDV3z7kPuIUtWs02rVGF
9KLrW1NBgpKxcWvCzlr1Tu45fV4ccrZyjdzOjdDvTPZ16th/LeUCT8zRYydXepHhstxjywfzRV3Z
7P069n+ZXATWbARnuRosimDTsivMMctPvvLYyiUisbHbWK4VRWBebOr4jsPaiuhvcEWygkyaTcxO
MpXLSdVtn2e2lb2aPLhyfZmxxwzkQrOXq81Yq6JVLdedUZiTkZGcwoBcX7kQBU1xytmQtnJVOrAz
jfzoAWxstQyUADEIe1UjKh979qwKXBz2oqxee3awiqY89XIpO7TOyZBrWnQQya1IzGfEu4dGs9/t
uTlMbHZnNryBXPU2hQUwkOVvXmebVK6DS1scjJFUXLkoVvTw2svVMUPTZ92+T5SVOTmHkuWyK7fM
uNuZobB4jnqm8W2S3rLSU5Z6UT+VSguliW01sbE3oYUtFMu9Zwygo1lsK4rYztLD28qdtyq33zVr
8JR1uO26mPmSS5QhbTZ51+XevJcb9CSbn5nCtOsWVRDroEou2lO5cm/ZvXfDvAMo+Ipxk6W8poH/
YU1fRvFdm1qvrlzgdyN0uryyHwOF5b4m1/w1QX0Lg5FPVnEWLtw5HTdNDo35F8fDPzW4yfD7z2/c
u/Ylj5r0pWt+f+/KR/733gXNhuKRCQlUeeSPn0UjDNv5I+rz/+gsP9+7qg063iVDhtHL9zn3j3sX
bBsqFFmcu4Kxxt/Ethk8/8/3rkP0ED8CiSuyT1B/I7dVHMVIakYul46v1HziFCAHDoJMrK9aJCE3
7Gp7jqPUAipV3XTyFpYNdU1n3WtpwWA8O1b03HCs9mmTXyN68VY25Ubsnxy6dDZRXG707YHRA+Og
k2fI+mWO8w83wgJd9HozwGwobi36fyDDMVZQ5h5+mHi62S0YqsYnZtY03g55JUafa686I5ERdH26
HkCPoSqzjTra64lo+SppCtMItXcFurbSiAVbXpWpr+jLnR3Z2aay3b1IaZ/vDb+1aeEJ2exgNjEp
P9Zx1DzF5OJ6XW9kOpMhRjeIDOKDTdIcqXeu1WA/r8l9dBunBoyZ2/28qupArajAhQtEfRhfO5Fx
VqX5F7tkjQnHg9Bvt96Ajn4p/cL37KEab2MnHdZGV5wiX62wTlPwcB2gCSexKXQNoNr9g676jwqR
l62tXHs7W+b9sANIiTywPY6DdXGpyRdOieAw1a9TE70QD0++EWv+ou1OJFwy08c2i1G5pJrSrn2n
7IRGwrJfnZ2g/KYbcOSUYUtwJ/qNbAse6Bi4+TnTx3NX1K9Ecl7dMN3qsXhIyKkPLYyBJBqIkKly
lZZ3aTmTqwRFq1Q3g9Vc6xbH8TjsYmF+ydifo4R/cZ1mn8YDKJDM0Fex+y3XyI1PxdkYutVQOBuz
nHGUNyc/am7AnT3VDbGrWJdLhdhaOzzPRYZLe1oAXD1j0982o/5lHopTj+/XzPIz7+WyjIe1G4bn
2C/OjeEeZgPOS9vuUQZtSqE+k4KzdqL2VEJHCQrMjvKtD2z33qypCDNt44jxqPUkkHaueu5gg0xV
fK6FfluB9Wxn5cEKjR30G97hDnRXku0aqgQHS6nrVx8QT9HapF+QBT0UanhtQ2Xtl9bRMJ213mVn
NUYULCbtOJjjKw1WiycfTGCuHf1+3kMPXtZhewxsVskRG+kx3BUNillnqj9qW7/27nitJym/DHrr
1rbqTSSG8Cx88zRZenapyTTYoSmoWKHohaEBoeH1ssbqgnHwOGh8pDrX3KXAVpcVfi6vbNz3KRjP
GG3BgxooMoLbsWqFN4JE69PU9oyqembww8fPEGQI+Buu3Ql8nP881+lp4OZfO1l3nww+mgIDFZHZ
Niu9mCMs4Pg/jQz4gBLW47LslXylh9oJAvnVBF+/JGaAedLIO85O4iYulU1D0gIunGJboixZKg28
QcQWpzbuNgkgPQupiYr+aMWng3dLRxjpds1NBeB/mZvNgfmkzKxtDhLwaPrJ0aiUjWbIGXR1LnVS
soYqeyvNjDdjVjyu3cEDCsSL1YpbK3V2RRsbXl3AZszl+NWfR4rYuAM3DsNWD+HWxVF5zCISlRPk
AKyAvrY4QheUgsQFZ/O504zTmETvwqAMUxx9i8/XwrgCnT+P+6vI9ccWcz4K1K2jdOmazhdATzSc
4HRNi97kBMBWUS7dMu88vfK7BeiLah1307EAfQzUJ7oQL/bQC6KEw3C8DwTlfKhFi1xBZ+skF1od
bQmVOWFoGtMKZTl+utBFwaIMR4S86SG00Gj8023/0m3/pVj0/NG/vP9Rv/1ZLCoJNexiVJwKDLck
0u3H9A3IOBpNvBD0AXKL8mn6BiKOG91hNqeTGcPDf+23SbtRUU7I7BpsF3+PbGMY/GQ/X/tYKDBO
sELCqsjNKf/8k4WCFLfSsPxoukT5jTHZUvM+DQviaB7GWR8W6kQqnavnR2dOr85kvk5lqixtZdYW
Q5jywY8akI2o/prEvRiqUTAoFq9umJzSzn2cZQL7gH6+C9aVIhBE4+lMS9auTiN0UE7zRtWzI1Zz
dF5+78JYMc6Dip4vJZFrUYnkUbBTWRuFYBQAOUCnkwcwZ31NUkrcaX5VfIJoaaG2Q9U9JFF7U7vm
OXJ8bcONc5clQLGKMTj7fbsvhh49mtIcNIdv9JiD3B8LfufZix2YYU6365xwTa3lIyPN13mofOnK
CCWOtaBAO6fECM4mcaXwRv0V43IM0Rg24qhaVw5YHQMkKjO698KNLk0CcSuIquluJvM66n2wVWVD
rvhI7xsbEU27SawIzC+yQ62nbCbzUQy+zaBfTfc27DivGrTGU0aOW7uIPWfovZQ9oOdOTCUGd14Y
WncnwF+s5tp6ROGFkC6IavMO4RgN+6KzCmzyI/qk+UEbhhk8umNVZHoigA9Xadz29XlENEarieOC
AWIxy3FhdHREv0qaaaPKRPmhF6sONsgiDoLNqKILs2cGlD4ACdMGAA5Z5qOMrVOqNu4Cr/DzbDKp
wfmMct3vHto8f45Aa/jWvjIpES2TlXfXkfRLEo6I822hq8oqTEprQR7ayVVJa0gm48Aq68tkin1W
wjbPrOml0qzqwcxAYmQm3X2P4nbYdfq4GePY30aWbyyUyN9itCUctDIOU5doMAQhSkwKMpA5cx6V
HtSKqJT14OoAmnp8IeyFHH/YzS7SA7UoEfkFpLZTUjECKDcR49qFarNB1H3KM/AECvbDuu4e5zT9
klr6t8LgNaO5+6o6BRG4yQOki6cgq2/GMImWY+tQFc5fm5r0cLUIt/4Y20uihFb52O6zzubTHM9f
e1guuVa9tBNyDks/uHHkaVH5JKKh9XxjSFn15FD36/SeVvEBuD34t85s+NGSA7ClVTlzy7f2U8WG
blF34lSz15xDtI8GaSiwdDbqBAOo654tJ7jqabG2tfwCX+Aylgy2KzHrR5I0wAqLHK0jYHIjWCf5
e8I6ruvJzWwGf1NETJrd1GSwa00IE4Eegv1buAMQ3NZuvs7kVsJh1F8yn3AOS03apYqVSksDJtf9
dC9mBgZjkdpcSvY9FGiy6NWn2QlPcNZuDZ1bGiIiocHuO6y5beaishR2teuJu+4aX+JVxpUf6x9W
bJZ8obR7PsZfgdGHHAvFuY1gdLjGuwvVfwVt8qbw2TZmjSah6DoxwD6XcCq4BZ221hZWMqY3VFHX
JOFcYbRNXGhPAmE2afCYhfs6+u0LRdSNr9VEAdqW7zWD6i+zqXIZaViH0mnMm9lwNspUhGw/+yq+
K3PtzZ8MHZbg/DAXxdGYg1ct1/Zd2k1b9hDKCqXrOWS3LP0pzXpKQcpSyHwUpT2vOri3EIZLSS2q
aOpJY1rQ9lEfWYg4fBMdqmYfWl3bR522C8P2WgcInNXB2InZPI+dcigyfsuIrIGyDdWFNSsm8bWB
F4cZJbdtev9c+d+vfNP8y3Y/+oDL9AetPo/61OqrTMlRu+H4AKTIKu7TlU92hy7DF1nIcZn82uq7
BNJx45M394uwjr/wR6uPo9LVdEJXLTkal4P5v7Fw0+Uv9POdD+Vd2lfYCYLVc39r3Z2NMAv1IkIa
55DN7WdzvBLacxG8cx6ARI4WNUdBJM+EiNPyOMhzotbti+Dg6KoSCltwJc7qmctlqcoTpknCrzmg
G9Z3VyN30FRzFjX2ExhbsFAcUjOHVWvZDbwjzi896B7KMb9nxg4Xw1WBfFYsxQGlPbFu8gD9HayJ
TRbH4hzileSY1E2FypiDM0SI7cqTNJmjbdPBk405ZJFcbwd56pp4tkeO4TjLH2aOZQyNX1l5ZGD6
9G/KkH+pOMATDd6dyZGOcGA9c8RHLpnG/Gab0qU0GFwmrXQERJZKcBVXRMtVwUoRTmgOjo9LpG64
QCaulWrQR76sk72DWUVN5JuHWE0LCCPKFks0kR5kZm87jIyFOe7071eXuA5ld2VGWj+kXG6pvOVE
5ewDrj3cqdhWuQdLdTzBNwX8FtjKyuKybHslXo5cnybXqHClwJuLddLeG67ZgOt2ciy28vIGnp3h
OZF3cloZp5RL2pC3NXTFBwQqMCHkTa6YBMDJu32St7w6TtuYa99xhlVJGdA1vGaBrAyGX6qE5HvJ
QJyqFq58TGobbIXWeIAyOCG6LNV2VzgoFVobjTlLmxhfSaHW9oqVKnaKpkGR/0JeFBOBluRBTyR0
nIvRGCZTdlFYFVPsJUFYVcvSdE9ZVxHgURhveUgMuuKTVmGYCiRgveCfBtUb5uZN+J25dJPqG/pQ
sZj82JtyVC62RoZTYCVXewaXbhv2WQmJA2v1kr8DrBe41a/paD7lzkjVOfZ3ZZeES6qFyDMr6z0u
m2/6NH7MbU1DZqePATszYmaNk9qDgU0a/VATCr2Kh9ZYmVZ/QwpB4BlusjXD+slJrHZtkGu3snzn
aWoRXpcmOcbCHt5xEA2LnLkQnxziHpkqOlhdXbIeA+UcoAn18iDY52P8bo5Ef2R8XnJ63mQ+CLJ6
46K8RZ4SUi+ND6V0OQom+GlIaJmJDydQxRe/BD5p8W8cbfgSzNUt+PLlZILMG5qn3LKYZk/MhRTb
nmV2M2NhighPkfGLwHcXihKSkViPCOkH6kKgXtduKoJdEobSrXOe6xLGU/mNkWRNIdPX6rqakvrt
n3vll1byL8fIl/olD/5AxyH7xR/3CmoNUzN0/jbbMb9rqP97r2jOv2kuuG1QUuAt/HyvGBj1SUVl
tsxo93ua6X/vFUOOpLHpY+I3pJPxb/kOmT7/5l7hVpNCEaQkrg6P5rsv8VMvWQlk0gPQXgRZnBLG
nCbuUiOU76CMlXrI7YbQOUWdumczDveRPz05gTYvS6QChtQMKAPrUhIUUizPlcEgSy2rEt9HxPoD
P1nxCHgZ6QHadGQIuVQkKN/FCdjv6heTTPuPtlP9eq1LCYPVsFvKR3Rt1N3rsINAvWpTouj5hJsE
G9YxY5jJVlyWWoRG+p1L9xmVAqynNUrcav1NIW2aWjFjhxz5/SLUKU4dpjRiSsOFYrBChE8ZLPBt
oReu4b912qWcC/bQKsva4VYz5mPYu5IocjSLdKcF4W6M/HlpiRpmKBvUJQYcxjyNGR45JTZqqdzE
1JLX0ncObRnSJAW0t4HbkE7XFPWSVKxkNQkO17qEF21X3WVsm4uSjA73hEm+JPpeas9hhXFYcPyL
VinRN071t8Ro73CC3aENwCDWp21+o1TM+Q0zWYN2XAelCL+Sqbq0W6TsjZ9BSiMVwijCb+wB46Ve
EtulFw73NUPyycjuFGEN69LhprcrTDc167W84tct4eEidoM7MNvC07U8vPQBwSjA25niW826HZXi
KgZUZkRvNOpULwy3yxelzkgvUk5Eaa6R1aBg60rzocHfRWlMTUK9vGZvHy0YIHAPzjX6Grt8svyO
/bymsPNGQB40y2bCPfapxLv5xZvyr7zLbooob5v//Z+fJUrfQ6pl8SXYMzPIQR/x85CEwPRBTdwm
PutqWK6NdNBfiFh3lgOJEP8hr/2zRpO5zH++RnvqXv+gqpaP+XH6MS3jYMHtgcREhmz/PEhjp4aA
jRPoN5F8LkJol1rXxm/0n7Xbj6ra+bcrg49c/oiVFyO4v1NVw5X+zenHc4D+EzK/AaSYJrEnnydp
aVu36liM6qUFDOK7ubVB3aAcdKUrF3CAyltLkkQw+MEkICxkXRAit2zpkusCLecgGSQRI55jLbkk
5ndCySA2PciS1BnLUz0rjNCZirXOm9YnKk7KYYup2/dmMexc31lHdql6JSB/OuYUTg55u/ZgPgx5
vTXZwd9XQdARQFy+icE5FF35UGvAO5n6R6z7q7d0kmmzjZkvqmHYjoiWkU7I9lal0dVi07xRDLgS
YnBX7fdueFB8EsPokFNa5YmWmdHTm58ROqpPpIoFsq92cpe5UqFc29RJb1zZfWeyD0+NGtvlZNue
HwmTvT95ebk/3WAsAe5BK9/Q0ocW2ynZ47MN+Brpxn1buKWnMAYoE4t5wBw81KDvo6rZdYLqMJu1
Le68d9Incolg3pJidJurmChQYWcMHeLZvdfi0qY5Zh5R6+o9l4++mHkTWrJflqmcXiDgeZnkPKNh
sIH9BaNpiW2uIl1gMNUbR05BQj+6jchzWijZQHLcNKk18FOYzJRIKqWSM0eHXtZORtxcO0F9Nloq
7qQ6a0hnBTMhUuTPZYr2DmdKpSj4b3JXJwfQ5ZIijLWoAW7mjXNx9XLapLnDHEXEO1TV7ilo6g+9
QsriznZwq3QJlNDIenP1PjlXk/4tZUZDNq1APBTGcnLJ5bTM85p9RmIF8EBIlMoh5u9J1b1AYWEB
kTqXQSmIHhZYWoKp+JYlbDUajWCMWj/j/8iXHbsVeJskJGrECpNApGziEZZir3XPogwfkwRiVg2X
tyJyxgOqz+sW8OKmuWR4N/OjTafAsOY1Iy2PNQmgnVy51Zzymxli1QxHREijs8wTUS/VtmaskVa7
UmT7EVayGRiXSUsuptGNSzdFQqQW8Rd18B+sTGm2LdhjMoTtBwTHFj+2Tqis3rB/6RhrVURHdap6
zaZ2rw7RpkriaxQFK9GlT4Nav1puXSy1hHHr1EA2J+XJq8VQLwo1PwEKYpJiKvs+NcyNUNF3d+6U
UKjbR7XS3hwdNnDTTl/I9MJzppXrElowS9e58qax3yX+rLIPVM9DOryGkngjJPsmF1HFGJvkLaBE
Ln5UASYnlrwcB3BOqw5ru6azVSRTh/lvsUyg+Y2StzNJ8k4+We9SujPAfV9kwHkqv9aXkeT1JLq+
iQH4OIB84AU8aIB9NKW55eej5DC5c0H/1CMMIH5gL5j7wXNxzTuSE9TN6pUp2vMkCUJ4vHBGSKqQ
kkzKrpCkoZzGsE+qOxPnWAiKyJFMojJjnYZVHlKRL5lFs6QXMRhe1X7FeFySjTIQR7EKXslBCkyg
RzMvlAISUiaZSJOkIyHHvyAVQvUryUkg1ZldB6zGqYWZNqtvjuQs/dNnfO8zZATCn9+zBOD+69hF
zb8ur1FT/kEkg3z4jyuXpCJGRSybXKoe15GDpE+DLHbWKtegq5JxpBq/DrJIKmKU4AAyYX6ErPvT
IMv8N65NHobAVPLBuMP/xiDrt+2GBV7M4X+Af6lE08osic8Xbg3dpOHKDy4BhSpteWT+vyi4OF5/
utRllC8EFf4iqg6NHAmHF+fzc2RaobplOo3nILF3edjBGdCJ1l3b2XgajVEMYD2nZjOTp7oSSola
S2sd604nfRpQFaveEwwqt9nlKCpOXU2QPKN4Q1QnIRQwx2bTwURQsfLMzNnVVVEOarlNwPCvasVU
N+NYzZu6IHd9ANa7qUOzWjXFEG8MgQQs78VNjEocsCxK+Y5gmk2EYE5fBaywlU2eDXNxl9dz+C1j
erM2NJqPeOk0LF2QXJt6zFHK/1tpbMS1VWhmqnEHfiqJl2U1VrftyE8RgXyfFc3Cthl+NUoN132I
PJH0XdAXyc7oq01vi+PQCW1ht8oZI+qjlRj3ldvc1aQBB3n/KCzIJY6oGKJF5rGqySs1q2MYcp/B
XdxRQkReMIoDiecLR+U06YOCHc0Ii4ph5FxM+9pSn8o4BkmeSjFJUV3qSMRbXDbHblRfQ5EQ+VQS
SGD6iH6cVPsIUw6SyXVXU8H4BUUsg3nTyGg+Rogrhj8fCEQ/9L6yGQk/bxXKJrRNtYcZjLIHRsYQ
nbLBMla+YRLTFpabea53PoQBqpJ0E+Ov98DY7+pZ5hU22i5vRiqXMLsr6vYQon1ZKJMq3qY+aZZT
HQxLCtT1WPJRJft4RYIiUnoknRnGorGsYM3kKCaYuSAswA/mOD1BBrF1Z5kTEqqRpHrGfLDEfFcH
EmeyX5naUyV6GaNT7/pkZMKYqh+m6N5p8JxNnYrsYLiICRYhuTa3Ze5knjaakcVdxzLVxpTsJrG2
QSH6BmxkNwvl3Gr2A4oVOVUSUnNCao7Dxa8d2aDd9jnrilj34tpfNRriB4FCeEj1jTO0YEIMXngr
J7pK7b9osrwqqTVQOj5jTTgVamssonrcW6l6M/OX9lp+yljyzKa2wQjxojfIqpVxV5jz0fCVrWs/
jv5z4cx7jGvO2iJppLath4q9c9ijnKEq61qnPZhZcrT06SbwY21poPyixnGfWDs9SdUcjg3t6JpM
0QbzgrWXOIxwGc4d2BzQa0Qm3jtj82AmPSrnZPSsMLgxe2lfilDNZH3EeDPZYbbg6uy1x1IJ78Gr
PCilTNfkjpbCKXvcV66yH0cCUZpY7KvY3aQi7RaOjd2r0Lqd2Znt1RziPb/fwYrVZ6NDtjYZKc6r
AjyTTkzzGZVzsh2VTH8qcFV/bZwCfcw4Tf5D1vrJdfSZnY9jqq1MQk1YdrZkFikJ4HeSabCwTdQ5
usJYlK8FTBQrOnfmjDMwrXufkOJSyG8YUAZmxi5JYk7lO68zY3yEXOJRaXSx6htx9qHzr/y07Bet
6TZ8mMlQ6acuPWCnJhVVt66tCmDYqIbKC4hUWWhafOiL6S4rk2FBGgpyo7Jhe+iaX4W4i3nnvapT
EHGNTb53jFSc/DLkxZ7hoaD0ezXB0rKUnUK+ci7vkXWvkjfA6zjhf5yCY5yR1z0l/m3SFq/d6C5j
hrxOjCQBLd+d9FYaRvkMCYChR7zt4/abXQ+X1JpjyFAUoKxPn/S4W+NQeS4mZdE5DYN/jdLKH0CJ
tg1gxVi6qn3Lm7D4x6TLxpX+Dnxp3JSV5cV5/9Qb/sYi9ooim5VHa67Lmrc5ocvx7S9a3jxaXf7F
0gqktWN8N6bTMXeHbVtpfMGH+EsQTrto4Cs6Ap8HKxBkPsbCVFzbdr5AyXsaQ+tcxObSMXvi8GpU
ESAw7Llf9yYis5HOgndjlYvkGc4NFuxYbHB5IipKiWRvnWgXNCNTYQO8dGyJO8YnvIIpBr8gt+9Z
6e9bQyCwj1TidcND5cOnVBB7RNHcbos4+GKRm7Aw1HprgSPhuPGUbjwZOb99FtpHp7O3dRLstdZ6
ckuIX6QAlMiMcCtvkwx5NaMiYDrJCwJSj/zRbZdi9Ks6/0Vtkz2vtRfNI5td3d2b3XTblCo/ptns
Y1XZ1pZ49tVy10/pwmz7O9+0PVZq87oZEXplJIqp5vgN7qMlQzWfVRNdlj5HJ9dKAWBV91nezmjn
ii2BRxVZfdl0hGjhxbp+BAXzLPzioNZEBLM1aIHNqNqiMM3hhnEAFKM6MFaJU3/N1TBYK6pzUak9
acOrSurIEVyHY7ZmsfAWpWg4gIQrX4dS8HmZtXQ1qaW/MMwofSeSyfZ0IwvpDif9NGDO/fapPvv/
GT65UuKrC6oQeFO/I8kTHK5RyfvKOY4fEMQk7qtp/d351m+eQlZanwa3E59ikXQ8hVox3rQvXXkZ
45u//jXk+ONX6ouspL4rlaXUCAMRkLyfn0PXuwm1ehRcVJJ5HKioKFfHe/KU/vppfpYx//I0eJvY
khq40mET//w0QRGTS5T0waXL0OMCZ2vIqFSqh868GejXRQNf0vol++GfkZ3Eh/9VK/FGQhHsgj/q
Injkjy5CDu5YS/Be6DYfYen4+tRFOLxN1o8/4VG/Os5AVCNDl5bQ/xBofh3cqZpcgHDG8I34m4O7
P1iH27bDfJBGRyW/Bmfrzx8ZI+7zhpii4TKChlmaKOLWUI/iVRlLhdPYovxJGoMJjtk/DXF2KDme
mAU49oIwsWjpT0Hj+bmjkfAmVviXOA+n3F4KNVIOaju/WL4+n4kK/gCsBwk3JoOrTP07ygBxynt2
CVNvVOty7Kszc89VHISPSMVXg5qT9eM6e8It96iTv1HjPQ5htrfN5FKltWdr+hZpZ8yVgMw8yoyS
coBbh3zs1EOtRYa524UIP8VHbDMHFMpz0isfwAFJ6/GZDo4D4ihwmO8VQGPStCkAVfYRGPol5BDT
GOL51ykkX0YOPJep3ZMtR/qdx1rwMcyKW10wRikYLNmT2S2rjtKCHqQLTkG0E6VxrRpxMlL/YyaO
cspvhFYOHlb+c+6K9TzGX7IKyzsTjzC37nsLDqwaf5sCqfBJ9VuHVLmFw1Bi1QcN9qCW8KaO3Jcu
DdP12KbMzVyjYlZD/RG0ltcy7NxSzcZLg4nXSs1JhJypJ5dZxJap8WN3pbSi8ai86bBQUGVAjsEQ
xFdLS3V8uijU4gnbgRZZvWcVinGqKxYP0Mz6ZcIAdz8r9bVoRi4rpVA3WG3AtmiRVxtttAYsZ207
n+HQYx4odnDSmzn7EjcWG6aUBQsvXz8vR0MA7xqjYZVbzrfGDbdjCKOnrZOlkZGpDWC3bdznWuJc
s7SwsRdoGKUiU/PX1AraxaYtWjazyyCXIeu6NJG/Z7MePeAqe6yJB2Qk7D4n0Zgtrf7/2Duv3TaW
NW3fysI+b6Nz+IE9wDBTOTqdNGiZ7pxzX/08RUletkR7xkMBwx9Y3AeDWbKKZKmr6qv3e0MeXHY6
FbuUN3TFBvvOSbu1hv91XrrNMuYgW5WKci81rjLDKokIThenzLbDOQJQp5hYlZpeVilkRGT+E61q
z3t/yO54AlA16ljShEXcX6UDAJbddPmdV7RfKmI3Tq1IbSH4+dtc8Yky0gd5HjjKhYRbBjpMnPwT
yVCmllM3q7Jxy5VamvFtYRYxKXFWehepxNrmSuCjoMvvMht30NqUJmODUNkLjBUGQpT/LnSIEN0E
SYfDZUeC3lTSoJknEdluRqB2pzXOOoshcM2TepA3vZtPC797D4k1R3MoDxgn5+HM0x3yeXtdWkuS
A2si7OjRj4U7C+w6XfZ5Fj1E4AyruOmwQYKlEXV+v2qR0M3L2hlRoqCBm5AaWV53muKe+Z5mn9vt
cFGhioYyJw3Y4QWszKQtF71s48esptW5ZOOBWuEhCDGlH+e7bfif80h0nH93HqV/TbZluim/7g0b
Fb/9fCYpOuop0fURYUAG6Q9/n0l02RFC0RNHA82p8DOyRRoJ1jm0el42k7R3HHA0CekSClUWA/4B
soVd/k/VkkEXFrK0YVqGwqmEl/ALbMvpDQlnS82/kCIs/gyh1bfZ19em0O+3Oyl/XdRlSTMaOscU
ziHHjtsVVXg/hBG0Yu5e8kUqvAHSIveAUkzhGdDv7AMaqAR4CXiASzgL9DHW97hhPboOaDuGUGQJ
OwKwvxJvgnpnVGDXdTcpDdSMSA0seDSjN4Z3SRa39+yooTqNI5koSTKBCU8JQ3+R5zHXMtoZK9xJ
oIEZjfU+VVqpmQygUe9zSJ7oEo18HKZ6yl6E3AMHyAjvxSstavNPWoLzlWTk+Gg6CmiJ0sYu+5/i
2ZPYDoNzZL2kASbumHhTOzDdqZOp4GxyMk20sDmXJSu5sMy0vUkgD8xLUlD1aWClLWws1+AUKezP
KhYwIwxvJxsnLdzZfmLZgYFvKilpN5JiZyN2+kmwiktrfEhUSRi46kOVTgcZZaZKL8AIWf10JaJs
bbdavTQ4jqRqBnDefqoDdtd5BLGdVHESPVM0Tz5ODbgutKPgonfaODp40dv8syEvvaVFuXBdlW34
WXPS6tqxKmsRxqbCEQJH4C7p8gtHq3L4rRKzeZVKXkufrRJ8Mc/NmmLtq0rjXtqBGn6KIDvc9Q7s
U29iNmieu1QO4pWspbUF8oRZ/LrAs6U/SSwySLf0BL2tQ4d12dSau4gDH0e6wFEpoKUKMEQqrVlk
B9VHH1VReUnLypnC6p38s3M9gvJQCn6/c82CrbevkOYXv29a5jvZVoDUH30WhCjkuZBm0+JiZePG
aDwB698LaRzJZfYQixKX3E/h9/Wd/6NiVo63C4wdctF2u+CfbFp7+D+6hkcEIhOdJWnJvNOP18iA
VV/5ca2dKxgd+jDXCqxWpo1pRCdJwMOL4qMdLeyjdDlX+5mfDuNtgwzS81PvTGtCaxP56VSr0YHL
xefQihXlqlMqTBzClmbypGpT5zKhuXbiaU0crIt6UO/IbZaMtVLJRLY7Dv6xiau5J9Fgyrg14xSm
3AYWzPVTtqu4enBSz+zOSy0vjWvBlmvNNN7C3w5mWYpvIXJsuwmXsvAocXZ2JXUx1Gs9Vivqj9GP
CBIXBKZRt0AgrcKXT1VBcCoLcD96rJgv+JgDTsuirOeNPASnRj3oZ6475piTEwm6aapUiLEKF+2L
pePCCoOkufJVes5D+tmKvAckk8kcTh8cUNPY5nWyheypUHknhf6V4MepLdOkLrxunY6ysagjqSFD
yDMnrSpzHemiRsEwoQP0Dmr7gyJRfDio8x76wGxXlZaqa5/M9jMpUpNVpJTWBTQinGPzvFhCZ8ym
JcUN3mVpDwqd+zChcLl2WvecP24+MwGnq65y6W0kp3ZD29VwSwvxoTGuI527TKASe6rjgY1emKAG
DwKkNtghTCcoPlYazXLb2do6ILPdjqtYQTUEiWs5uB1u2RWqNc8tQZX0/qOIj59F3diSsGEsM8Wh
Q1n34DJldxFpCPNk9G90MIx+VhoEU4dSrl7idxHdQiTTblLTTLehrJcnSRGkH8IW0iIew8SptuGj
o+0/9ZYGevL7Xesk2xTEWrJHvbAwFL/6vG+pmL/SUJDxdxLXduFT+LxvgQ0YtgmEbnG0kAz0Ax/e
fkdzkdVL8SM/seifAQB4kABhj4MBLPxRuLtmCeTpb2SKzZHenqObJtd/7GgwR/x52yIxMiG6eygv
B6KxEdOojYJ+NiX1BmcPP70MdPMcMRAyW/S2nN8GUuAIprwn32iufhOVzTaDqgg+768JVT71Ue+2
WnNGL34qoeqNUffaqHxHFXldi+53yLUzOQb01FAEI8lfuNAJKpTCYNTXXJvurQFEmSecECPWij3B
6Qm7kRSf2GzmSxIHOhpkw/bf498JkVu+HqL4ohlQ7KJZ7sU13TH7M5MUeaNUpl3g3RtgxRLfaB6X
3RcH/bPrRAtYFp81j00QfXTqmnjbOKetXtAH8C8cLOC53kzpfF006Ku1rIA3oH5AV7DyFeXC4XIu
wR8JlfCCQN5523BNRK/tyy2pDdWV7zfnXjdMW6HrRt8N+E92Cw6FzreqdISzIkJwv2lORpThLknF
0IA+hGG7lrC5bY3qxvfGpRSGswRluZmXt0M1wF/ug0sP7Tm+kjMFLbpRJasRbXpi119SteeGmV5g
oXXWomEn+PokKYdVU2APQ6vGCvMLyu356ApLcv3GEmJ4G1V8LeTxetydR0IwrwwFIHm00TL9xkFR
70NUReoNKIrW3lOT2ei1dP1S6EHSTej0awVtvi78/NDqm6lgCqHed6NeRwMnF1MrKc7xTie7Xoj9
4wHCVob+39oZART90hbWAF6ff1BVdtsE1wDsWAH+y52XQDU4HWfOzmMAmzJ/XWfYllzq44hxX6ib
qbYknxOvEqXjry8QCQFNZEUDnZs4pSir85OUhO9pJaAMJRbyZGNsZ+2A0WLco2vgRFQRmo3hjaqo
WJvh8opj3ypMIcRgckTstYBPUnVEmy8gFehTMGkFzNIIwMVtMTCswGACfShmqJbgfWpmtBgFVJPl
hQoxtbrHDAhbQrMZSPpRrwN7yGdj+K0TkI8jqXcSGFBmazPu5pejaix0MCKsHju2/3YKs3eLkcu5
TViEhO9aeF4KoIl/C+QEd3+igUIFAo3KkvedgKdyId93BWSFDo4eWa5/8byarosAtvIKWkoFCS8o
Ww/foPCrQ8MD6XWTTFsBjUWqvfVy53M6qPeE0235/D4Yg0wbVwBrpAh4GE0Cthkp8DK+TwFdLwXa
aznT7OCyBaHDl+W93g/fGks+CUHw9MwPFr3UzAOwvWBU504SFxececUiEQCgKqDADEwwzX2yGrHZ
QSjfarNGp3vRKenHDju3WVUkX6XMRgLfQ8axfC9dhFG/diXa0bKDUnVsP0HYQyxY95eBbH0RndIe
nv6k7BOeW8sEHCKz3MLIwbMpl9RCxa0xHqeFpi7dTP1YFwGYmWrh94QLk9dUk8YMPg4eilVH0h8C
tyCEg2BMwMwvUlPOaBwO096VZ0XqftCAf+AnVQzQAKNinQ/CqU71uiSXoczv/E5LZnJI7m5v8nfv
XfejJiIL3Ny1eL60BdZdaI2djiUaRAMGRSzLsrMrPp72LZGRe7auJ6StJSq3oMPvr1jTxTL5bO0J
krzLPsFsc4A9icHEuvNlxHbt+1SWT3AsHrHRgeIdSINgg/VnkS/fdl59aqT+nTJYMvlv5iwtQ4K2
9E6bmb10FmB+hJlfdA/tAmFdkluzGM5ec+v7UbooOzy1p1Lm6pMWUS02Aa2/1kEC/bjVJ6lsS0sZ
Wgi4J83OtEqyRd+oyKQH6s6KUkjp4+uAELd/aE1PrvZAIL+tRerNX9N4s1ebx69+r0WUd3CZFJG+
KmzohVDiey2i8iOVdgK6OIzxfrS/EwWHbmqUCjoU310F81yLmFCaIEA5JhyoR1ryH9yhdOUVixjK
FGacdDWwPKdaEv2tH1pxluIpcVwaGcHbiASg0QuZvFgzPTJitfeUdedGi1gb1mmSAttwJnxKHOsE
tsLCdmpIINmFBRIQGtLlKLlzmaNpGuO7ehYHFsd1UL4fZP2j7cAVtiuBsEv1vB2iO7N0Mb2rR3Y0
Dy5uFlrXvYeGlYj7MJfnMax4GE0GJCUFn1l809oZ9UG79GHrTSPDTnnmax9TPWc+hmU+UTyEYCjC
RjeD6CDsbBsTY1u0XAjPcRgbBrhIxDYaM18Y4batfN8KZ9xwmHfCKrd2dGRxO/vc0ngw+Z5QDRm3
ECa7TQtYzzaIejENHxy6JPNBmPI2CV3/GJ/eMdXddSyseynu5lmKIR9ysvjUEC4YrvDDIN8inepl
eM89hY64cM0ovfCSPsNUuAFPulFf1GZzBwPKBNsq7gXTLC+UDi1Yd6b36P414c+BwUczS4VnB+zg
YuqIrkVUNOc5kYCo2bN4MbYSiLtxYmD+kWAC4oQcGRAQjMnYKStLOIUMWIa0nM1eOl6MwkukEa4i
TVh+jEXqSJMJf7L8DNclvOuEF4kH2VYS7iSZ8CmphGNJLrxLYtVEYWdeR8LVRBP+JurozQsomgsI
vg+F8EDhiEfk3c11zFEyOcEXLrhU4uZUE+4pCTYqGOMPvGl1VQRmPbGF14oMD2Su05WvINNU2LEU
KAstw6eIdDK8ZIRnS6SkswgTlzKUriLh6jICAEwM4fTS2OYNHe5zuHTZvBzaHto5vjDqziFGeMXE
wjUmjGQL3yToRV4FdIWzTBum557ufh4KPGdiyV56MP5mRi2/17GlISbSmikxuj/hWGNjXePB91Gw
shmxtCmwtoHIm0Oxwu3Grcy1V1CdUb+f1U11GWRVIV1nmRWPW3IaopXFGelE+XuMZsgoI7WnElVH
2kT5SVg7n7JIvqmN8qudD1zvkauM3sJLscSpOkzPkYTK6mkW+xdBlp30YXWREvDbplB08E6k2eI2
3dp0jW/QrBpcZDroxEHjWmAhaTvequZ47hVltVRIPiO+wcAwXDN5X31JXbHscLWb4y6w6kbtqjQ+
VRJtvqRx7lNHmeAbeVqqJS5XtcGpp5EyOl41I9YzLYfkYDTXbHYcpPVMxTgO7gcSGrdwr7SqPgMc
h5QHjyprghtLsUQz83bMEUCZJSwpvw9gT5Q4yemJlZKepWgLdDjBQovMJVIcb1VAjoBf4ZPcNcSQ
BBuenDSntkwVVYeQn1zZvfTR0tNvWSl/TWw1miKFej8C+BhKRFO1yPWZofko2UvXmlCjf7HBZ89w
/DwPenw5Blm+IjuMxWAVymWnxVsNh8q5PHbbppKwGzf7G1Sk+VpL28+QcBYEsX4cAot8zmLhVIk/
S3rWi61X+rJvvA8pkChlJa0ze6CeyCBflldOgGG6SR5nhUzWKNyLEGuBWWBGqwyLyxMApnubup13
bqeoTe4UHPuXvkH8xFgo+Tzvw35eSOp5zzK4sjLnxhiqVR/rwTSN22RixepEzUNF5EHiBWzVM74r
3J2oQr8aFBu/QAFcD0imCJGbAzt/85yHAC11VWs3EXPCOaDAkcaLHRnFFf3ghexL/BXbCK8wF9VA
O3YgP224REDLVSqMnclQ46vIcLaNI4BhIE8zvAv0ABFocNCe6pKCkNpThpWh9jeCEK4kOT0BRCmz
xiZFqy+g/sGSWaNpmboS4C/GHGCPIOfWZ7kagzXb8cTrKY08Aqokv7hVA3dpYsHApdFs8DKBvOV4
1UOk4m4pVdoSmAacvShQMFDDcd+5bYz+TJcrMnS1YtngZ2lE+QU8snidK92lV/c38pDNJVcboOJY
p1nhrPCA7O78cWgWXaNuI4faHaPya7hKhAnGmAr/g0jvEGkdGOQ39ZS/qerNa1hH/NYPpRTqKZqo
7Buys7Mv+l5KaZgMU8dA3JCxFBRarSdeh668g7tBaWNjNgS7Q2bAp1KKjCCVDccUXsIyOq8/w3WM
nY3BT7gOUixGIYTeAEaCw/5zKaWKN8/jIsbt1wpRcXCdUfTuPXRlnE8L6TL3ITPyIJ9HMTqKcsBu
c/BwZMXGmqu0vWVPhGqGM1yUkrynFPZs0BwSwrxxwmV1ZcfNwqzdedIrq45DK8GFd9LBFcP74VNl
IKYJOs5guHlVzxq3wvOhbrYYw807kAIigjn2lfy86PUHepHwHZ2AHjseiVKQNKswL1el4xBU6BGK
aCxGFUtRjfg9xWjPTDW7t7r2olP9BnKxHiz9Ud3ECLJVWf4IBGMsLNdtoHEnw7LEhQXtP2Rb3axO
gJXahe3mWInAstXCeeSHt9gj5XATqAnaHMUU5v2Tys4XOAHixcKHO9UssCxcBcYZKWcpqifr0tHi
r2oAL3pQjYjAHjZzaXDvyjj7FucE9sppJ3HvCc8jHRVuABA8T9s8nvq5RQRwT46mNdhzXBWwdKjh
UnfxPcerBFqL6aKdkabMTTa1nRNahtzTjfrcSdW7grOUovg66ANp3giKK6wyLlr2N3KZOtxc02vC
HxL0c86nMFTwQswJsnMzUgpiLZkOpnY3JsGnKC1mXcypEtg4P2hBcEYlfhoW8jc8LcwVbjM6KXLN
MPcrk86jq103tf/BD/n8HvaYYH+0Bs1cp6aF9Jqnmj5PKmDAMAK/imedhzNvUCFhrRUq0ID3kfsK
iwInnWQpoSZDctOXGBtnNmlLo9YsPc+KJkWKGVA9YPPUhfxejGcCu3KkL5OsucwyG5apy9+9ohhU
+oIkh/yT0gRnBLedlYETrCVPgTpucnTpasreWw0EpkgaHjJ1vnS17ILWw1lBg3MdS1xBvSq4kMPs
E8kswaKIhd9PUM56PZ2i8UOR2KLJU+J2VSjylapW09zoRMeAbofXrKs0v2+kdplV6bmfZQvd7HHX
SQJIR1XrzHWhoDJjn0uG3H6EuLqtWtDQsF/iZzfAqy1QKJrZpTzwrQbrKis6AlWc9taO4kUtnxTj
Rd2eu4QKDrKz9vr0UjHSK7V1V7B7L6UGbnc7tEuVbtOkaSgwM3+k1OXKZIYx2FcSuFMkgS7XBRwf
UgZNEyOfQkZLqNMbc5bI7TecFKJZn2i4VORiqUbVlx4UACtKwMK+WWdkL1EHO85SSY21r0CJHV2d
U48U0GCCtLFfwun25kavudPM8nGelGwqJBjkXu/jOEaKEwCPTiYstOHGj75mWvuRpvsDYVrhHL0T
HhtadzU0XBXoggCf1MQhsh212hRWsVqeEqtVn7L3FJiUoVsM+gJELU3qtZEmobnQoHYb9zgw2/bS
hyO2bHSgNa8rUmXSW0QKQszBF3xup5IOX6qle7cCWh9wAdXgGF1IaTI0t46cKPVt55SSdtr0TXba
GWnsfyxHXW0vozpfZR71Rx4O8TzTI52oRsObFPK4UUrvpnI17LKj/kTX02ZRSiWQpmSeGiSLzLjg
6pMmNh+Io6wQNpiYRIf6x0gy7alP6Alm3KN5omU8zFGK1wr/HEGYkX3OXX3jhyXhhnaYTLSx+Aay
SO3lZzIFM3FBsoyXQFnD9xmi/nzIq1kfOOGC68e5npbXktucJnb2mQr42yhp064H9qm4uFIcExlU
af0JtGxD7iBtW/kmiBCkB243qVUD4wKTbAnYDreyGl64lXMmhcOn2Fe/jYrMKJ7xLWoTcKVgJo0n
WIWEM91AKuGVN5G4pMu+TCtg1sensW+dy1FMiEWfbTpvXPsa6eto6hDBBSOZQWpyYVrRiOON481l
SboGulBnnWWMMAia81EeTh2jd6fMQr6yUm4dFUqKJWk07O3Q5CwnsDCAo5MAP/iujmaj4X1QS3qV
th66tAoISrIjp+PNAeEcbPK00QEVheg402gLTDu7zy6TPsfLNuvOchuOHcoTIEjFugy69JxaD5og
Jt8O6pQqqVZeU29MpxvmiE1vB1RAc+gX8dx1OECMsLl3m6aaNfjsgEOchFLEZ2zGj03h+AtWnc4z
AO+JbrU0LbN6WznOPRv0Qs7jsyjxa5yBtJUWZvfQ1pdSQIwq1tzrotOuWsBsx8i+BBx0E1rPF7qM
+MNg3bXc9OnKKCW2Y+Xak1qOhLrzJqoBUOlH0doxMO5pPaKubbVYVkbQTQO9uoyC5opKZJGq9fs2
Ab8l+w3yp8oD2Oj9PJJxoYCGWnAndK2l5PFTi/Ie55p2mUqSsjS59azJxXOmNL0v5bwKoTXXJw1K
W7zUuDVU/X2cZjIKJA5BtiwsXUdvKXXKaQwBckr0GuAKK42kOhVuJLbmUkUbqU5lErJUzBVbIgUR
ihTuNLS0ta4HV34TvpfkDMJ6CuDCJscGZ3SrMVFZEoZ9pdK8BbUHaDWz/iHNvA+aUUDhsx5GXXvo
TXmRV+bHLPI+Qn4zZzUZBW6Sf5Qze6Xp5W1nq6daKCGkGSJEwQSglt3Go03eWKTDRfTdm+AaHzJg
2lq+TXWxiUsGnY3S/6fsfoIxYZr9puzO4k26hwWi81s/lN2kbuIvYJnPfdHvZbf6DgcjG/6FCQkD
eeT3sluzoXo4hFaxw8vYFIhG6zOCab+TNZYMjmU6LBENlecfIJhoQymrfyq7YZoIIhy9W/zKYYL9
XHbrdhKWrKPh0q698go8L7kJlNz6mMW6ejJ0UfRpUGprYdetfM7F3eXy2vozylok4k5X3/pyFiO2
U4JTeA/u3JLqkh5U4aNaki9i4Z/fCqKlISiX0AD4/daWCRQTlEw5y/uVRNHYqyN8kdqvV0quRXQu
ZByUUqz55QF5SgmF+3Pi+95JVmAwpkt1OFMFJbSy7ZyCenjvqMUUf9PN4CbWSSOIpHUmdaepIJeW
WddPcUh1p30sX0aCgtoERJE5ZhFNfPipmokxceZoNULJcBR7ahhuc8wF9es6RUsyjp7oRn7ye88F
H22ngcCYSMaY9mEardXRwWlat9QrT/E+ytGA5Z9WLvQ8vTayAiqtXEvL2vTGk9FrtBPfJxo6BttU
JIwQgpqka5gR+jKKU33e4pi6MpXWnnBmRydFkncTN2uvx5JMhzxGcU12BXJsA/5ERGtJ9ZyLUKOg
bwdmR2oIMQ3w1yHRQFEuq0rlDmR1+brwqxO6wp8xfIPMi5nMBEJlOFeIHPG9YqynUGr8OVtdOYtF
NolLSEmoS9ivYkXQE1+S7HJMRKJJK7JNekJO6CbTSJI9lD8GCSgdl66ISBRT43Jvedok6vul2sbv
VZy3nDNdJKmURKoQ13GVEbEiexX2mmxoOVgv/jMG9Bxj7opcFlMktNCV8cjNoAi00uS00pStYZDn
UpndbetDj6s40YTXJqhVIl8Sqb5KiYNpiYUJe+ccXe7SF3kxo0iOMV0TwwvwIiJlkjGoJyYhM46O
U9AoYmcowfJIuqfPQCAswTQYlfETomoStfyidWiiHOzzEfYvcWq4L0S6DexkfZKJxJt6F81QRKBL
UzQuzYNuC1GYZiAVdLP+zOkIgZ1bSRCdKWbBsd4MHLVEz2kIAsr+zDPVYP3/CwbyRMGZberNfEcw
uW625XCzrZq4rp53KfHTnXPPXfa/+0e/H+iJ2nI35Nt//2vzNQnSWVDVZfBQAyi8pL0I8shP2/vu
g+0+9W/HiTewsZqvvINGWBtlHk0mBcmUeP3rrzgjz/bxx5KCKB+IRMOyS0Qk7X7OO/4wU7+ai99/
zcdJ/f2/+fVX+HEm2Hn5zH88C3zNvyfBeqcaUHKYA3n34iR7NQkKqiGYysczCXueB9G/++OZYJyf
pgJmFAQ27I12L7C0n6aCQC8DszUeGH7yf/8kvJoEofx7g0ngDAdHxMxp94JC9nISVER/+KUf5RwY
sshTOfBBILhXU0zDYAd4fL2YAzYGWLz8T3kkG/8fbwmvHgQm4fDd0WbzQxghIud2r5erQUwCL8Ow
HrUiRzgJjx/sof9/3jb7fnb90RHhQFRwOPyp53cvsWH8eESIjD/Z5nzQj/ZJYEM/cDnAD2W9o9Rh
Pn/+9jKPwM7X+PHweHyrI3wQHveqwx4EGIu41v5qNQh6LeeoshMYHeHZwPP7sg315wUT1qewb0g7
5w4rXq9Wg/wO+x7Wi7hFH+ckvFSH/G8mATDKgYmEpYp4vdwX2RK439uGpRxnlYBS9vB90XxHo48y
QKcC3b1e7AyidOZnrIZHYvsR7gkv4aE/fhJosFoYIFiqeBzE61WppHN66Bql0uP+c4ST8PjXOWRj
tN9ZUPJIp36cg1eXKCQJLBQEoIa52zOO9ow4vHQWUUIEBuEg8mI1iC0BQxFsFI71QTAOrhLgFFjs
CVyfni7Lr1aDij0200MxdaSHg6CIHlYqiUnAMhdzi1ePADJoITXmZvW4UI50DtSD50DbUXh5EmB9
PK/4n6pGzgbHRAYJYn3UU6EcvCY0lb0Ppo2u0ZIQL0qwn6fCeAc9mosm5bV4He3KOLyAhr1NE4WM
tafrJNvtz1MhikuHYDTh/HiUtaOwLjhse9CcXXYAR8SvCmgh0oNKRVfpSCdBOfwWYbxDGShuUo/P
vHjof34SyN2jpFI4TY50El7lFP9x7cgmKWwvwFeQXorXq6uU8GBHIkFz8Ugn4Qn7OqR25A/N1sgx
8KtJoGRQDAVq4ePSO74CWn+LjRHUmXhn5alu2nOfBHrBydc51kkQBvyHbYzUTWSqQBV8KhleHZTc
Ikx+rAO+H+lyEBXfYZMAc0AlXlzn0vy4J7ysFrhGUD2yc9rHeo14uu0fsifo76D0w514RhZeLgfy
d8S2iDrs8Qw92pLpcd8+ZCpM6mS8KCmlH5+Hlwcli0I2gZp22rWjLJmE29KBi0KUTAJbgUmze72a
BA2QBZMoXA2OdGcwDofbAJJQK2JU9QvMkSsV6YL4Pjw1v47voHyCwA5ZDhY2FaZjImd4vDa+3BlY
DjBqHTYG/flJOc5FcXAJDfKoOzKKiOeagbPnpxKaqSD0kl7FU7l+hM/D4YuCg4Dm4/fH4RX8KhYF
hRN3rUdo7/gmwTgYbKFwAjswOTJ/0aoWNQMMFjpTj6XVsR6XpKsfelKY7yBqQqvESXD3elU+Ke9M
w+RqfbTUhacL7yGbJM88VFCOiqeaYc8kCA8etoZjvU2ohwPxtgg/ET2HJ07TvklA1o3b0eNJcqz7
g1DzHVg+aSCQTAQmm/sPTeHBiaAPu7pj3RmE2vDASQBwJp6GHtXTJvmqNYFtFg8LZO9jZXFohxfS
pJPaMm7wT6jba9iN+orGPh3bY10Or0zS/xx2g5xPHCd3pqfWw6snQVRW4n8AlOJ1tIvi4BpSA5An
xRZSyy9a+DBaCC3HH/doyRyvTIr//HmgK8e9inDKJwTy5UnB9qiCuHCaHOnl8mnHOqRkoElFII1B
o+rFLYIvTwiGzew8PSLHOgeHQ28WfVuZuFOuC4+vF1NBGQ1XXBExCMc6CY/wxyEPgvXO4TnQSfTY
7X2vQVgcncibppJ4LC6PdnM8vGwyAFxU7J45KHYvvurLCza3LsLwnqrVI7xbvkVngm1R3Bt/LQ1Q
HZaMYjyeRsc3CU+r9bBFAcBK0PDzHviqYuCCrdpglPqxLoenD3bYJAjEnTbdr6A35Z14DrhWHmsB
/cqE5Y9rBaAWqO6ch9qvmvfqOw5LogmeWkHHtxxErOjBVyl4fAR1Yimze70smEAe+SGqKvu4z4in
B/WARSHonxoVAWnnv6wZTBr8REwc6/b4VNkfMAmiZ2mALwjYbf9BiUBCRH9gM3SkhZP+WNEdMgn0
qDRVhRj/hC+8LKS5Splimo4XdNMPrx7td7pI+kQq+IudYXfPMHWO0yN9Ep7KmEOeBEpomwsjf+lf
LAeZM0JVcPI61j3BOByIRzlmQfODqPCyambLJOoHR4U/qJX+B8fod4EyHuHx1500GZujfQrmX/2D
ZzXu65//IDzeyW1/+pdCqvz45o/yZPH//8fPyuWdXviHnz7rh3fv9PT7T1/x9Zv/9GbP3+v5P66C
bbkpH/xh94Ph6YNeEBT473/9Z8z/+br5USwsXDEECPz83/bLrL+XB78fPQ/S7fNA66///pcYXBz4
z//tkMGTzdesfB7oh8F5Zv6ex9cC8f/RJye4ot73wbksHTz2dBNvWv4k1fNYP3x2Vvvh42dxU736
kzLr7KdvMHhal/g6Z3vNCMVKPvgtZtv4rwsyuffNP8XBwePP479mWcnD8zzWD/PP8Xbw+ItyW+2z
jBGci4MHX8bbdE+4h2hdHzz2qkm+ZPHX+nmov+dFKB4OHn6d5Nsy2MTPQ/0w/Fss2TWxhnuGfosV
e0qG3Z6h32Kxngapt2cjENK7gyf8bBPtWUOCj/sGQ1fVdt+cvMUCPcuqv/4z9bbxdt/MvMUSPd98
ZQN+nocfHsS3WKLnm3Jf/o4wnjh43sXYebZvdxeCnMOH36Zfs4e9WY2CovcG45cP26/PA/0974L1
dfjgGZ/9eZwfxn6LZXqe7dvR1bdYpQxdb8vtsOeTv8VKvdjkex50AT0dPOEX23bzunbE0ewtluhl
uWELeP6UP/w532KJXsWbh+2e2lGg9AdPy1XcJPuKO0FQOHjwm4DSsQq+7pkZ0fs/ePzbzX8TIb4z
fTqgbL/diEzYNNibUf4WS/XxDf6b0Nm3+Ba/y4d8i/EXrICHoHrYU9Vob7F8xUT9Pi3uLb7FWRNU
f11+Cap83/d4i8Usvsf5pt7uG/8t1jPjk2Qz2ZRf9mfZvMWyfnyP36XlvMHfQuTxkA35vEv8vacK
ddLhO8fvDOoP/vRgGPsKNtGpOPyTB1UUDFnzPNQPE/MWJ/Dt7yxED54YCpNkzwEvgNrDJ6bepEEV
b5o9dbjQNh7+BgJm2XMOC6z94MHvtv5m39QINvXhg1PjB/Weok04JBw+ekNu1p4jXvhCvMHgAETJ
PlxOANsHD/+eEZp9a1XoWw4e/RM21c/D/L1OBRh9+NDNlz0LSai5/5uh98Gy3/0fX4O1z76O+37t
Zyxa/IuHeLsp/+O/AAAA//8=</cx:binary>
              </cx:geoCache>
            </cx:geography>
          </cx:layoutPr>
          <cx:valueColors>
            <cx:minColor>
              <a:schemeClr val="accent6">
                <a:lumMod val="40000"/>
                <a:lumOff val="60000"/>
              </a:schemeClr>
            </cx:minColor>
            <cx:maxColor>
              <a:schemeClr val="accent6">
                <a:lumMod val="75000"/>
              </a:schemeClr>
            </cx:maxColor>
          </cx:valueColors>
        </cx:series>
      </cx:plotAreaRegion>
    </cx:plotArea>
    <cx:legend pos="t" align="ctr" overlay="0"/>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0CCE-4AF8-8AAA-A160B148A5DC}">
          <cx:tx>
            <cx:txData>
              <cx:f>_xlchart.v5.2</cx:f>
              <cx:v>Amount</cx:v>
            </cx:txData>
          </cx:tx>
          <cx:spPr>
            <a:ln>
              <a:solidFill>
                <a:schemeClr val="accent1">
                  <a:shade val="15000"/>
                </a:schemeClr>
              </a:solidFill>
            </a:ln>
          </cx:spPr>
          <cx:dataId val="0"/>
          <cx:layoutPr>
            <cx:geography cultureLanguage="en-US" cultureRegion="IN" attribution="Powered by Bing">
              <cx:geoCache provider="{E9337A44-BEBE-4D9F-B70C-5C5E7DAFC167}">
                <cx:binary>5H1pc+O2svZfmZrPLx0CILGcOjlVISnJ+zKeJZMvLI0tk+ACLgDXX39btifHWjyXroo/XL1KUqkZ
qaEWH/TeaPz7rv/XXbZa1h/6PFP6X3f97x9jY8p//fabvotX+VIf5fKuLnTxYI7uivy34uFB3q1+
u6+XnVTRb9hGzm938bI2q/7jf/4Nq0Wr4ry4WxpZqJtmVQ+fVrrJjP7Fe3vf+rC8z6UKpDa1vDPo
94/+MpMPRa3k8uPme/j3jxfLWpaFXn7wi0aZ4eOHlTLSDJ+HcvX7x42F8McPv21/3w5vHzJg3zT3
QEzYkcMdzFyO7ccX+vghK1T0/LaFkDgS1GEcM1s8vn5++eUyB/q3cPbI1/L+vl5pDT/x8f97Vtj4
PfBc/pjwPO7Wz2WNRQSw/P7xi5Jmdf/h1izNSn/8IHXx+ODqwS/WP/rL7eNT+m0Tzf/8e+sv4Llt
/c0LwLcf8v/21iam/wvef2TwcO/fB25uOxxzSp7QZFtwY3yEGXYYhY30tMmecH4DR/th3l5gAsrb
JAcG8udVvMzfAWPHPkKMUtvF6AljsQdj4iCHoieZB5F/CfV0vvYjvUU/AegtigPD2S+y5l1UtzjC
tsCEIvdJdYPIbqhukGXb5oQKx91EeDpH+xHeop+A8BbFgSH8R1ZKtXoH48yPqCAuAOw8STLfQhiM
M4OX6zJnE+HpHO1HeIt+AsJbFAeGMDhny3ZVL/W7gIwExQgz9ooY20eUrwXdoZsgv4mp/TjvLjEB
6l2iA0P7e/PjHewyEUfIQa6LxGtAoyOXM8odSjaBnsrPfow3qCfAu/H5A0P2j3x5X9TvIsQEnGYb
c1DEm0bYBhWNsSC2+BlfvXS2pjO0H9wt+gnwblEcGMBeY8x7WGJx5CLQwPZrlhiD7LrgUSO85U1P
Zmg/vpvkE+DdJDgwdD832bJ+D3jpESH2Ohx6ElJ7TxYEC845crdU83SO9uO7RT8B4C2KA0PYLyCP
sza+2ryHCeZHNuJCEML2O9QQMiHicJchcLVf6um38rUf7b2rTMB8L92BIR+ssg+XBeRZ/3nr7KAj
5jpghtfYr187WS8HQmmHQNZrK+31Jqb2Y767xATAd4kODO3bpfpwAdnZ4p9H+ymlzRhEzq+gDTlO
zJEjnC1b/Sam9qO9u8QEtHeJDgzt86XWK/XPQw2pToioHC6eixc2WOdt75vC2w6nIPIv9fl0jvbj
vEU/AeQtigNDeJZ9CIoagqt/HmTCjxgW1MXPJQuxk8+GEEsIBGab7gux3sTafrR3l5gA+C7RgWE+
h0Keeg/A6REjiEKm5JUCxjrtyV34B20ltqdztB/nLfoJIG9RHBjCt8u7GiqRyrwHyvzIZZDediC3
+fjaccrQEZho+AfC7vVrx1i/hbf9eO/5fRMw30N1YLgvspV6B3MNGVAX25AAxZDJ3rTTEHcJjhhx
txzwyZzsB3iTfAK2mwQHButtoYr3qDiDhXaIoIJBk8jja8cNw0cMudSBVpNNN2w6R/vx3aKfAPAW
xYEhfNzkP4rs3vzzXhi42oxT5Di7suscIYqIDV0lT4p8E+K3sLQf5J0VJsC8Q3NgQJ/k5aqWy+yf
B5qArArMXYeg/cKM3CMXnDMXmkweP7Bll9/C2X68d1aYgPcOzYHhvU4RnBbLqpHvYZfZkXAhQ4ad
5zh6R3+jIyywA10IT60mW5C/kbn9qO9bZALw+8gODPuLlbov7uS7hFrrmjRobcaehR2Q3XTMCGRG
GSVknTN9mUB5E1P7Ed9dYgLeu0QHhvaJGt4j2qJH3MbgfbPnVqLtJAri4IELSqHItQn0VH72Y7xB
PQHejc8fGLJnq/o9lLd7RNhjZfrJHO+rXa6LXojgLRGeys9+ZDeoJyC78fkDQ/Y6W96t3qethAu2
Tm0+16X3GGaQaPDU8JPrDVL9UklP52s/xlv0E1DeojgwnM/gSMh7tABC+wG0/4GD9Vyx2lHO4ojC
e9Bcsi3CUxnaj+/m75kA7ybBgaF7vkzfofgMSS8oLSM4PkOe4qk9bdoCuYhC69+m9E7lZz+2G9QT
oN34/KEhW+gPf6hola3eQ3qdIzhrgQn/Kb07Xdr8CDsE+gNhE6xfW9HT+duYewXtPYtMAX0P2YFh
f7G8h8btd8iTUDgYhyFhzZ6PX+yETvaRTaG84aAtqzydo/1Yb9FPgHmL4sAQvqqXINvvgDCBTBj4
Xpy+dvyCHXEXGnvptkhP52g/wlv0ExDeojgwhNenTN8jdIK8F3Mg82U/txZsa25oB3QJguYRsRUU
T2ZoP76b5BPg3SQ4MHQ/SThao+X9+4iw4LZLyHNsvBscM4iemQ2O9ZaSfhNT+1HeXWIC0rtEB4b2
xaq+g7PZ/jucZCc2FZTT5zLUjjBDsxiHwzeI7e0nmM7XfrS36CdAvUVxaDgXkLT+52GGXl5H2AKC
YfqU8thpJbCPoJIB5zQQJEteJkMupjL0Cr4b5FPg3SA4OHTfpRwBkRIcZv1bhHcataHzC1p3ISdm
b6nrC2htmLLZXsP2BfUkaF98/sCQvZWr+l3iJWj+oTaBLoEn9buvVxfetAH8/UXGyXztx3jrd01A
eYviwHAGiTGrejVMkZo3zpShR5RRxoj9WjsQOqLQDUTJ9pSRt/C0H+WdFSbgvENzYEhfLsv3yH+A
roaOLweS0k95zZ3aBByzgNZ7G0YLbRriqfzsR3iDegK6G58/NGRX7fJdxgSBmaWYcWI/57Z2sEVw
kA7mijhiK2d9OZmjV9DdpJ+C7ybFgSF8nTUwo+wddDSM9SKUwaGK5x77ne5r+wiOzYCfTbZ67Kdz
tB/hLfoJCG9RHBjC6wYmbwUDyyb5r2+2xNzF65PrrxQW4di6Y2Mb+jq35PhtXO1Hes8aE9DeQ3WQ
iNdqWd+/T1MXNOTC3CfE4Uz742tbeyMGptuxobNg0zA/Pfq3MPYr4HfWmQz+DuUBboBArqL3kPjH
TnvmQgfvVicfgI4o4bArnnXBLvaTeXod9s0lJiK+SXSAYM+hQnUn9V3x85n/M5M7GbdtBg17f/f+
bLZu4iPo50UuJ3vE/G+OprgWr8O9u8xEyHcJDw/29QSLuhmnPOE3m3WoWyHH/pkD3Zb19eQ/SJPB
OJNds/4Grl7FfXuNaaBvUx0e4h/OG6k/XP2QunwP3e5CQI0pxF2A7Pq1p+MA5n7aMIRoj8S/kbVX
sd/7G6dtgL2kh7cLYJ97y/rH8l2yqM5aqa8r0q+fjaaCw3hXmPv5+Pppcp7m+IKL9zb2Xt0He5aZ
tgv2EB7kHvBhVtV75N2gYg29ZNBN+FqdEx2tJ1VBcmYrcn/CfjJbv0J+c5HJuG+SHRrq8fJdhlbB
yUuY7wquO3ltbiQ+Ar/e5mAbtoR9MkevYL1JPwXmTYpDQ1jqVA5F8897dOsJVQRcdfxzLjsY8G1n
nsIkYBc6CrcwfgNPr6C8vcIUnLdpDg3pIlu+KPE+tRH8E0HbusANLYXr4th+Fw48d0dABXQnITeZ
o1dQ3qSfgvEmxaEhbJZK6mzZvEdyncFxDRuGWdDXWv6hfGKve8LZVl8h3FjxBq5eQXp3jSlo71Id
GuLr0bDvcUgLztASjGGC97NLvhONQ7l7LfU7xbLbyRy9gvQm/RSUNykODOHP0CUM1+K8g3mG4Rdw
Qgs6hZ+Dqp1qGYZqGUy2gcsYNs3zG1jaj/H2AhNA3iY5MJS/F9l7JFfgrgUGh6MBxW3XC3wzBod3
YMjJJrZTGdkP7Ab1BFQ3Pn9gkH5u4I6U/F2u0IAWfw7FLlC+rzhcNgRPGCGOtxzrt/C0H+GdFSag
vENzYEh/BVe6eZe0CIzwheZBYr822nndOirgpDS1t3yuN7C0H+ftBSbAvE3yfwDlX7O48ZvXt5v9
8VNX7oma3n5HHfRzUwopz/0yDNBSBMPH4HqNfTlPuK/k75v1Xo3kni7327md7iXtxm98+om/fijv
c+/c63fS/X3RX7A0y9njFYEvrqX79buPWxvuNtwife6g3wPi3019J/e/f4QWQLI+JPcC2fVCG/33
z9e5/dwXm2QryJ39/tECH/rIWR/h4HDpIIeJ3GCMu9XzW5DmYnDK1iYE2wRheEvBvPD48RJDAVEz
HORx1lUxcLY/ftBF8/wWJEIJnK2GSwxhliQM+P75S6+LbIgK9fdjef7zB9Xk14VURsPPWp+3L58+
t+bXtV2YNAutcTCqkEIeHvQJvH+3/LQ+hg8f/3+8jyrR8Li5SqQpT3kmnIta9WdcZZXvNvVXmudB
lZj0WBUsG1dxoSvrphkGb6hG6XPUZzciLpVn0uHGRM5pofNiXmVaemgcWo+lyFrIrHU8p4znUdrG
J11lbD8qQ8fTnY5iX7SVmueszJrbISq/i3goPAs6vTxmepn4JdbOadtb46lbqj4O/YEP8rTJ0mDA
oXVsrPohEmr0pWWHiwEVjRejVJxkTdR+LeEKhDMsaXrBiSoXSN6WDYnLGc8He14iLoO2tuyAtUIF
BRlJkGUSe5iKyKuROEtZbWZVhHzXYDN3+/KSu3HrtaQQ8zYbe88KTT/XseqO605fIq2Fb1T1ve6i
8wF1s9geAqzxhe1EZ91oYs8kZePJcKi8hHO/a3QzU4CwF4WWmcGXRQ9hV9C/hjFpw3nlVrHX2Nbo
81ijY1E3n+KU3PLEVs1JSWPL3EikqmO3Kn1VxfS4cgetbqmxRe3FTchaj7DQWRDUtYnnhu5DGjbd
yTofuGhUmgZjrq6HRF9SpzxVWXxZ2fiMG2te6O7UymlQjNFcV8qzk9F3ZXnfKfxJGvH95V2UG3vy
riiHWkbx8+Wif//xP5+LHP59vJzyv3+5vpv0v39arIp1wUdvf2itPP7+1H8vuFwL69+3XW6pgKcL
Tn9KzVvefIPyAMmyf6U8nq4I3NYdT1QvdAdx8NpUECiQofUgo791B4Gz2HA9D1xkamOYlgNjKJ91
x3qEuAu1cg7nfGEcLRz3/K/ugDHDUGeHrLuA6RwEtMhbdAfMx9vWHWDDoBdv3bABF3BSBhr0pe5Q
GXgvGbBx1Yo41UFCyJfItY8TpSwQ0GiGjAM7x2oHL2ybk74bkFfkmM5QK06Nm1K/JATNo2T4zK2i
WjRJnnkKycwraD5LmvIuwj1C3miaPlxQWjRWQKzmq+aj82nIk25Baxqex85AT5KeBbTCxC9ZW1+4
2Gk8N8LxvGfohwn1gx025rjs1GWNEyR9Wuh0Jvvm04D6G9Ym9KYq88yP0o4HdqYar+Y09zKhai9q
ROkNohReDlzxPp0nUWMdo4SFsySXzOONvEcK902g21B6RiXtMdVh5EXlGHqGpJGXhgpdhTgpvL5R
8HexUMcMZcgr4etHmSmvZjaCb5G1NxLBvZrwKhCku8hYeJUU8Wmv8LGp8wqWx0uTkeqMRmHpFaZ1
vTZMPhWu9lNanLWW7Xg1JYkv82pYjDGSXt3UM95UsV/HNJzZ3PpSjvpW1PVxGdv8xK3G67pLhwAK
sN9Ixe6KuriskMtAB8aniLvXrgk/R61KvK6rgzYVD3XpnNiNuHBBg4OGs6iPlMMWZVb8mXTZKVXy
e58Y7Q/CeugjHvuNEXOwAn+5SqxKxaoT5MTST5ThnqLwWNqMlB6Jo/hcyo55aaXlX1gV13xIvqY2
y70uLwovU24/s7joZnmhRm/U+htt9XdOe79wcDFLI9l4QyRjv8yqrwUR6Ty3M9frOY0CbfefC4A+
y3BLfNnaZqZG1Po0swo/cprrUme5Z7MumdVjc+eU5s82Tu/zSDnzkKD7MkyTedzH5lSF2AstTuaR
Yu2c9iT0x0pH8PW4XzS2LT07dPLak6hyg9IhJ1YjxCLieeITXoAgFPxhSGjgpPoHKbvYE2HHZijR
adBQ/dCpkgK3Q+6D7Jd+qdJsLkfm0TgUHquF8CsJMhL2Rea1RTwGIap8khnidUO7iFoqgpj3V6QN
j7GrruNeXdGUn1iWnDf4BMx52F0IWFM75rasOuPTgV2nOf3GRH6VqirzOpIMQZj0ixQh364kTE03
f7IstoOiN7VXJKWYaSZqvxBGgFFT8yItLzBuFtrKv+ioOUmr6NzkZX6MsPYlHq5x1h47TZd6rBOw
2/v+Ks/weMrt7Hus5aVLwYWgdsdOkoqdY5FfgjeyyCxiPK4H7BdpOnqUGhlEMeK+FSF50iTyHDfy
HOXl9wz1lcc73XgUhV8c5n5ran2F89RZxGkhgj5B1Hdjxw1quI7aiyOWelZjFpGTK0/QsfetIf/U
0fDbGAJ/Vdlob5QEVA/QRXnWe5HJgjJJT8KxXlWKODM8ZqVXCXxsR8XoxwNNPQGP1W9N/A2H5MZ0
JPKIbIZZm2gnSNuaHqeV/QDTpM8cKc9lHDOvz3IC27oK7Fx+Hyn5HIaAex0WzK9MZnlpgj65XHxH
YZJ7EVE32Oo78Kz4AxXNwozW4FWKhzOs25s6bhahwp/bWF/YrRV5rOSnso4rL2T5TVapoGfSOo27
7It0jQps05/Sgc/aKBs802PXT6os86nq0lnm9EUw2vHFqDoLfIeiD6w6e4jG8HNVRsQbEE7hx8Xl
oo+T+7p0r6ICgafAuzFw4PY4X0E94ayLrPHY8HLOOhZ5YzXeDIR0M6s1pZ+K6LYnctZg61iE5ZkQ
eTt3yvoUxuTHYAXiyK+qfFiQjjZ+Rgt3HubDn3ltz01kLyvdy0WP48bnXXtJm/wLdtvzkRVAiuXM
aZ15nUSztuBnsqyPEx2a4xE2kd+NVHquYy8Ghu5GVF64EejsXpAZTeJZheqVSeSF6avl2EczJkE6
9dD4MA/pe8FVEKY89founIWpfcwMaNPIzJ0WNoEN+oiApWAy44GbqszvB/a5bOTF6Lir1ICilIQW
szZjxyDcvWdGeYFIV3u9Fle1GKMFdrqvGexbj2dOAoJSx36LLQ8E7aZ229ajbCwW9hAtwXbWs0LG
jWeBszyD+IJecW7xhQXnIxa1rv+UKbp1VZP5xSi+IGa+J2kcejXoBU8b2BoZKxFoEDQfMf9BQt4v
alHPgb8fdVIVnuLFvQ7HzBMJagMVk/FSpYkbhGV1DTbvonPgva6Mz4xQjmfa2ielVcxE3tyHNC1B
i1b3JFZXSSK0H1ph6ps2vEAlbTwnGuK5KEQbRL1xvDBpsrWUVX7I3cuY2SBlcDetZ8liXjTR8QBO
8IyBnrTC2OssdTsUY7yQVvJXyso7t2M+ifN8EYbpAvwIwCBsb5FbIr9qK3Y6WuykNDGYYuWkfgau
kS8hLPGphfSVGJ0gGvKH1E4Ln+fdVc/CzNNWdG4TmfvClA/cUtEMArXvXWGhmVXlLqxEl2nsul4Z
WX/aVRPe1FxdgDbXIrxw2ngRS8e1/KyJ+YltUlFdFllWxNSrpR1FXiKrdpzBUaQqPv//0Y9+6RC7
0Nf9Kxf6ZSrjKQ3yGNI+Uv10oREcHVgPsoIYGg5icxcW/NuFhs6z9XEw0EQcUjHru5N+utBQs0br
Q9v2Ov8Cl2yB4/0z/MYwQAUWBNPLoX8FplC+xYVG6+h6I/oWcGc5TEqjUD4HV3/d4PTSgzYjKcqq
afpL1RExa7swBp+OJCz1U9a1N9Ryh9Okb1U6s+3UfDeF035JHQ3GTgtVfXvx9PYlA3b8echRPIYG
MFDCWTdmbnLjqKFMRdy0l7hS6DJKR/BVG1bQ2O9bUwiv7ZzmO2tLC3zKnJvKr5IavNtw1Mzx4Yy7
uhfG2FewRtwEOMvQl9G1OFoM1A1XaLBQP/81xxjCnO3n58DRXIg/YN4zDGyHkOvl83MkiwHbwVyS
3o2igPZj9qWFdgQyN2wowDUeepQEkoXcGxkdpDekNlnkbT2goG4Lcx/3WiPIHZRuoI0sWs/ksQ1p
i9pNo1lUJPF12ojTXItYB+u46quOq7M068ARleD3XoB9bfPFr3/VLgwwAdOGmeVwfRuccHj80S9S
Mmywos4qM32pTCi+FhFH2HNSDFujVE1/3fW1uC1DlP35669d77WXexHmiECMyQhczAzjgzBZs/Xi
a127j5xSR+pS8RFdojRuLpWufcnD+OuvvwnEZ+ebBJzSYnCNFcwv4Vv7rFTOMFZ1XFzy0naWVVfU
2SI0fMBeWsYzUKrZ6BN74IWfELfL/7dNs94Umz8UNgqMDnbgAmqY87/99RAZyzhSubxkVeou86Rx
l2m25sEdcz2jNUQagw3QL7qs6rBXpQVbmUzok04MznlPSW37pEuK1E+Yyr+QusQEXO5hWJVWWwaQ
scmZ74rCqY9dQsfG+/XTW98JtM0/W6sNiMcg/ocS3yZQNm1c5bqhdYGaMF/K2ujIQ1ZqwBSTYVDR
aRfL9EfERXnej1U8p4XTSx+jlj0YNo6FP4D/6ztF0q5kTdh965YxO/01k467AzLkF2ATrevLMJHb
ZVCNermdaM2lXceGXCROVYaCB0bE46I3PRFz0zaNX/eVfdPmgwsZO/CF/RqphcY1uP1Oif00q/JP
ZebmvceyLvrWJXlxMmhjvBISXl+oTnkQVir0myJJpCcNSTrwJrS67EpLX1XWSGZRhETiWWOoch+3
cX7sUpN9wkl0HQ2K9F7WsOrShNVng3OLBLTF8CDlgEE3OM04enbHk/Msdvn30G6c05hydD5GfSv8
zo6d3IdNJ08sXg8Qnw58DFDnWsGY9HelrswtpO4Y+Cy5YfNQV82JE2L8uYpRly5CZkFcPsZp+APa
YuvWk6qy/mpyloP3o/FJWqjyBFUiu5dtSUHuSZ7eShH2zGsrJzqtw7rxwTWClKaDxVXV5f3M6epq
jlCP2lkG14FGfttFvAIPMg5nuSZ10JTiKg6tyA4QKswxmBrc+cpOqMcNy/7sczs+w7Uob11i3EUj
EgvPNc3HJadFPYPwORnnbcqjudX39hLrrHvQUVm6/oiN3Xgqwm00701SgHB03WyI2obP6yKMA4hN
82MFH4VQy6kLeNB5y7xEJ4nlM4h9PVa4/eg5Jgt9YiyVL2qaziAmH+ybjiAnkLq2My+BnWTmxHRC
L3rC+nOajmMW3jSQUc5zb5DZoOr7OIwxHr/rzupZDrF1Daq8uMOQLzKk9hrTNKV9aVKTp/2pkNW4
aEVjwpO8lrL0EpwVtzazyEkCoUrjN4BBCKluW/QAV855oMIQ7KHJ0q6a0bSLbL/ODAqv4sqmrDhO
B9bFwdBnwpxTbQjsqC4skO78BmzhnFpxEl61IDoU4htecthwJNX5XGWyFl5WgfEKZ30rqW+FUD5y
vSG0lQO3y4Z57sei6cJ5l7Esn+kQvIK5q6Ic8sOjCxpT4dRp/DyuLcgL6CHS11paeT4rIskfrKZl
0g7sApuFdHjDL10rjMJTRZhhbuKrXlfjAJEJaLd4VkYxy2ehbsdqLmqt5HzIaD4c21rnpe/iIZM+
690hW9SykpYPsOJvVpmPKIBYJM0D+M+2rrLEtjQ8cqW+JXku8hNSC5PN0tjQT2NjCJknVoHRWdzF
mimPxTg2i7BuS3ULxpicJtGI03lTAgezwmTROIN6wyh8ngxld5HzAba2BaJSQwoENac1cd0siEIS
NQFTLcApmQb/RI0JGVdZCjf+BBwYyAMy5DHkoGzpHEeSQSISp2lFAlnIMBibMHU9q6tLcZ2EXeL4
RFbJ6OVlMlpndpg5c1SGEZQnYsHKGRrisTiJJeogASScuPPWn/OQkELB9olI5fedtEaIsKX1Vw2z
8gfLkyBH+BKNSo7S461jkc9D1uHmkpZiKAIlKnPhNgpMUqRZCgQiJ/C0Qhkj9X1EmYpPqwGyEnPd
uaM8QyYyn50Eu0u3D/PQ4wg277xRPSMzTUcJzDcoyQNIG6YaIuZwJpGsvmddB55FEiXtrXZp96Os
Y3Lcsi4KZzx1bQxhYAjruFmR9HNVt+hy7Evi3Gjjos/IWPCJjlqa+wYNrJ+1OE/kcd1j3J0oFml8
JS0mviq7Wm/OJKn0gmU61tf94BgOeaUOsIk7BYwVkONBZ2DBxFcCKaF8loOWrAMYftYXJwYiK3yd
1E2afsJcCeekd5KugSDdrJ3PeOiv3dSi/azocvjqohjH1utxbsaFnbL1j1+z3oF+Ar7KHF06LuRv
bprKhUcF2aF09EXaguiUWZTKG1UzEPm6Aa8ggvdAp2Kj4qsKOUOtPAIpU4C7q/vmIrfiUnvSbqp+
3sPoGDIb2gqvlQYIkw+/CBRIL9DaTzYq/xrCfZCnvJWSezx2U9gXQ0SXnSLARl8nwydielufReDm
JmcFpP2SWw7WYqGVjS4rEVXf4eQ7rbwYUqf4tOCRaM7CuIjaYKhZ1YGDO5BFieGx+hB/D3dplrrX
faPt4riyhzb91tE80sd5aOUPwyjWOkRWWRxAHMDJDJJ0sZ6XNBffoJCWz/OujCqPOaDmhrqLP8nC
6DORr7MALq5xBGoPbij22hiLr3VitdEswwrEZLRCIk4cVaBqlYNCHk6h9Aiy0a019ixxLXiifTu2
MzAyXXWG6gZTPxSZacHSktYG17tK/qpFKz5bA7jpp6MwNbo3Wg3ay6G+2Z7IDsNSfY7i0Xe6iEYn
JcDS+VYq6Hws2tZcQO4lu01aDUlBpo+dvG/d47GjAE5qIz1CpjotigtFe+fcMrZTzOJK5e1ZNEBS
w+euzuPP4Inoe1soUCOgOnXrpTFkuz3RtZCaV1DDu82iCsk/UTES3nojeGDDl9IQS8BiOqxnMbPS
6NQKy+5HHNlWC/kHTdMTKWx002srHBd1A3numRwb2KQSm4Rc92k2upc5LbMMkpCtTS8cFDu9P4B3
o2ddXAJqHVcS6pMjy0F3aJ3NUE96yMtnmNeLkVew+1Onj1gwhIMN6ZdS0+pb5w7ocxLXsNfA0omv
sNdzfa2EQqBgcSmSOc9j2kF94jvmTceRl6Yt++JiVXVB50bGuXDCjLefqlCLGow77OhZKQmgCYHD
0J9LYtLinNVlTK5xb2f0BBLUAn5X31vRRVpbZRfkOgSdAd5YYy6yLAT+a5FCjTHmaRx0vW2fDJUD
cj9ArUl6Thizi0ev9LmB4PrJyX+qf7+sCb4sEU6pNV7Iu7rQxYPZLjZuLPR/ryJpQ/j828u650Y7
A7irjV6+TMCsmyBce031M50C3QwMrkyCK+V/FhD/m06Bg/rQ5s8ZZFmgOW198fjPbgYBlxpDCgbO
cAkXTnque8R/plP4EUSaFNogYNfD+BaYLP2Tvw00oY/j+c8fXnQz4MeK48vQzoXRpwgGVENnxPrQ
wXpQ08ugAzKzEZiC0LlKx5INJyMtcvKjjYkJr0DNkDy/sMCtPeYhy3yriW8HJ3K8FArggcKN7aEQ
ssMQ9aWzRhgn0G5uH9tdmgS8J7XftMUSDWPkN65cQsWnD3ICaYFa07Msj0DLh8l1UoFsRaGZlbl2
vJaDfPNhtI+loDpIGxSCC5y2kMnM21lcQ00hpuasUVBdREx+axG9kUQtaJZDcaUPVDsuZGU6r7Vz
G4oBxc0YdV8LWpxoR7uezApwXSCf6wvQOJ6sx6VI6htKKxuuk8PUExm+xrbJLhpnLOZg1FWAw6wA
f7p6IGG0bJLG+LnFZmZYdVABCCCmmLUWiYIsVxc9dr6VKio9zbvy2NEQRdWkg9R9iWKPFBbkVDgU
gVDbn5FRJjNcj6uGh/OmaM+Q6BaIgYNSFgtN9KwGtx8qry14zmXq1y1ZGQFBXheOnrA9PJJz9T/s
nddy5riypZ8IEzQASF4Oze/lVXI3DKlKIgka0APg089C9dS02SaiI+ZcnDj7rqNU6voNicxc61tJ
sx02CLrxUuTgF4I5WdvqMVyaDlRGf2ihx2gpHpuIpPPc3fWjcy7JkuAUQS1i7d2Kr3RpKfQDXY3d
fiZuuAt5f3JZ+9FNZZNABbo4a3RBZ9gltMk7fgp9b7xztdPnb2JsCi+bfFl0d2SbTb9v3c7EhVM7
L+AxIhnztf7uMX+ny1HhuF6+R1O5w4Oei0SF+HG1qM+BulMiJg2veNWH2ZTXtMvDjChtdsNcfinC
R6Af5pU70eO86Tt3dd+gH5wcub1Wq4gSziY/Cwr6o/L0STmFeWvKocZ422Ni97skXDEtMmc4CDbe
oWwegjEkF8yxj6bC2wJEM8RFEd7kegKdU25flLF0Kec6ht8eZTM3zmELvlwhKZrA+Wmd0QG0PfXS
Bh1pXUT+npEKAyZG9d6FXQatLCGy/F7UwwZV22y7UIk+EQZ+BZleKyUPErdN0oWdjtGRx30wbdlc
dH3sotppRfMkHMmtycnLODsn3vtuKjzxjeVlgX7eC+IpNzHu5hT169AEdZDwWZ46eMtxiWljGUIW
l7z+msr5pm/p+zrlF95sIq6NuIbSc+59QDlcRucOo1Hs+f6aCLQmY1mVsZhXtR80yt5c+m7sRYhJ
1eErnKKsbdjRmYpXv/b7h43wEm4K/JHGY98CUj5oWC9OpF6GklbHvoyOmx7OeRH251xOLxxEAsS0
B8L5sfTDGxJNd6XDP3u6XbfteKglrs2Nmy3t3W5JoSzcr6vc12jGiqXaj6KMslrDasTdw9+mdTqW
nlju83AtIQY0u1arM58BKfyXFMD/fqXNiqT/urRhIeL/21TyC9PDAPOHwoZlMrjZA3gEHsBqz8eP
fvkEFsZkLgJseKQJFuMzZFJ/FTY8yB1JGcc+6AbCqUMhmf4qbAGwPw/WrA1Auvg1/ncKmx9ZtexP
hQ3FDByhC8GPY7v3X9W0aXMqs7CFX8ME3i4DNvhj9JBhOdCU6GKFWLXli7fGxONlk4ZzHsgr47QA
zJZKwPCemdNcgVRx2jn2CvwbRQIXktAsJwsVUYZ+zsN0sykGr1vNYoHitrSkhwlcUNLGdUCiHlVn
dPs4WhnXd4sIPMzARBa7gI0kWXT37DlLlUDcOMxdEMbTtM7xsEJOH6uxxblOpl2+OI+i88AY8iaT
rUjRo953BtwLpCsaSzjBvWzP3ZBfXKWfzNTDnQ1kHvd9u1/6Iwot9Jii9+KKiwouyQwzUwc4kMOq
jpd8K+JVb89tEN26zrrEDcxqskx13GucSNgg1aeqDU+Yw3940CLTallfZs382C2ac1s5LG2luZ1k
Z3aKrzzhS4Qasw5z4gebTuuZN6ljui0zbGQx2KzMYYtJxQIHU4XrD0L1uSEoSQs0uqTN3R9a9xId
w7QTOLUrNjRJ6zYXEXp9Uo3j08Jg+ItBXaalXpK1Wr1sk/4Doc5uCBZvl9c5KjTkrXzM+yMtMfJq
Kq+FJ++HQSV50J8rDv5Aiw7txoA2AgPb0nxQSCQ4Atd09h3gNXXalJQka1+caN5mYx/yuMs3P/Zm
LeKxkfUuNAHZgbjAXLu5u7oZxcUx294tiuel60QCjqLa+8avUsKLWx2MaNGjOXGH+bQuIAwHZ3wu
pMGVWLOzMe7DXOiM62aNhXYPdSfui269VMxPMZUD1IAwkeXQkOKekvww1nmZODq6dZgMsnDwP2Xj
Tge3l1PCOnnN3G7elz6UMr/+hljTUyuGGObZDYbwPgmiGh5JE4kkbMRONO2TCsLUNBag9F+dfpFp
INh+Vc2DrtmxKwYT87xs4xKjeGImseJC98pz34+QsCI0bKVSz10AYV9487PO1ZNLp0c61cAwxm3f
ldGNmFhCRBhTNn/AOu7iqVOQ+YK6T4faTWXoQmial4dcbDWYGXfJpCmOxUSLwzAP9wvfXqGmvg0M
lVpXRsBsr4ZMrNRNqLN8WyuHx25NqxQG3IkQeYJl9N5t4Rg7xeAlnnQfIsZ31Ugf+8nZE1/eKqfC
CFf5D2AAwzQsnTb2NbkuSnpVBT1J/Lra6ap5rmjQ7TvXvLfFpqFZFodlHamtf1HSkbpL/baRO7RZ
r6IbVnw+FeArvYXnCK5MGrnOvnC28QKwFjpBgIvUa2iGR77xmBO1ayZz47r0c2xQl+U4XPdB8E0O
eXkaW7/JuKs/6yq6F3DvYu73eew22sTTZr7U2op4XdHy5YVHEy8MwqSfZnffBEomOQhhnte4dJCZ
iAEWS1wAlUkGOH2wM8pDXeh3Xs4d2pyuyzSPrhY2XLmEgr/QPuClBmxcbXBBQZPfiPM1KnouZHUw
m3yFZOVlHLJg4Ncq6bV7dsZh3YWarKm38HuKdvhYzC1AFmGbG09cuXV7MsARzCzOsPPuxJif20Yc
y3l4yMvha9bRlHZqvBiZ33DSP/ZhKaxHM8ROWfBzhHMRZ6PEndug65OL2otaPndyNgk4Kdyz6OpZ
rsYMKscMZk09RdO8xIskuKe7Hv/zqn7V/gzhAL12vWCEaUNfJhHkr11tACKpT2XtCUi8VdYZei55
+6oNPlE3Wh4aNXtZvkoIOEGU+BN5gkP9WRYzZOc6cAC02A5JfocN9baNztfq4mLoO/7Yj/jCFFa2
pKyZJxwR3bAb2uB2FZDt/dyNrYMZN80Klbm+x1tN1VLebC2lO0aHMClW4sVbE1xgqVrrzDkusq6S
BSDKkSr24PX5SxlEUEia6rNV6ARzqnTsqq07TPX6ze+AXPEAngHM0DWafnPY/n/LBP/9uiTn3yLJ
/7sBWfP5TwQA/NYvAQDNEB5G4KMRstt0EVv4vU/y8Hgo20Ax9hs1AVvy9z4pgj6N5bs+Ayz8ExT+
1SeFeFIgnhSHBX94ZA1kgr/HU/yD64iR38Ot5qNVwut07T7uPwoAxQh+U/hhc0Pc4bWoMDpvKIau
YcfGBeonUCqncckCBtRzxSHgF5fIDNcqxH2dq3Y4ttXws1VJRlt9gTPvHJRjZetyiDs0WQtzceY8
5UTCX8AEVdlK3qCkl7a2rwQzTD29t1wX8eLSH7lXTUlP2iIpmD5rtAhQAYYkrJENALiVcQOC17Ud
hbOQBvMW0xiEMJYHtvOgxuHJbLuRDm2JZzDMeWhUFtuxQIN78W0PA2n0h3T4CVY7So/tc4oVHU+L
1oeVsJ87NENb5D6vtjsStk8qS6LAgKF3EraL2mw/1drOKsiPPog2YzuuAeJk7KEJ28riag66c4/m
rMR7iqXt11rPu1dVna5F0WY1Wrrc9R5z08yIRixtzCMfMIXtAPsaSgFFU9j6pgLm1T+Htl/kINmW
ImHrUBUPsyf6NzgCT2aj6jyH003v42BpXAXbbxjf0OIeq67et73iMV2YjKkyMl58oLhlHl6Vhffk
D5MfL5W6IdjUntX1sqUe24psi6C4F2NE9kQu9z4pf7Aml3u4D4kLT+Es+fus32G8AD/k75Px5X4Z
nT3EsgJ9EsDjp8gtu4fGgXLxWRXbD6XL+80HPxwsvUQhAlYXvo+uuM5xfQP66pyDnj154415dEPb
fDqZKE9ohLCHCjgwbtR6p3SqpKSRufbFBrGzkq3aw7d9Vp1Kg6otr3wtP6HlAi2URTSA6cY0/59z
7jfJ0v+359xv65f/8Zyzv/XrnLOHWYRDCzFprCZDfOsP55x9YEsQBhgTf56AoFd+cWOIXuBHECAD
hoVlyFr8Pg/i3MRyeRYxD9tSfubA/obQiUVJf50HLUVrD84ID3PDdjT78z/AOhQAS+fnxr1hKOL1
oVpXgCrhUF+JvEnoNt3hannO0T544Ij3qoCrU5UwUECBMlnsoxzwclXrb+MM4saXEA2hTiBLfl7y
IuGtPvp6ghV6YIK8yqI45cWuDIsbV0TFlazg+XFmojRwEYKqJ/gGUDp+NBS0BabUGtJ9+BrAL8hC
n4CPVfPrJtuD8iAs+my9rdTsZ0NHoI36znlb0UxAtbmynB54s+apI4uBTeF8Vj1w+M37EZIebfBS
I8Lg6Yc21CqpNX1VhjyPG+UxMJdUgOdL1i267rgxZ0Lre+4igKa7dot1LlLMDPiLiIKwfKH4i9N3
2IKp60kPLX5VxXkOEQzu+RBj/vru1C/M3JZwT+PJSSqmxgMXUZnmwTymyleGJqx2dBsDjvXntPeN
Oo6TP0fvbkXzFdmSsT2U3Yp4m+7qA6b3IWsEWeKZ6j5zckiIDqCCbPLCZucYUx99bx3dhFfQ90yh
5rvSDC7eWDPerSACMfuuA7Q1oNqezZZMI3XichBF3HYYfdqBv8hthCG71CqjIw1jaSMu81Ii/hBJ
mPlRzvY8UOYOGUUai0U4qVBrUkJNPkXNhgETs8ZVzhyRqmiZTmWxBns9FibuKM7CdPAgp5HSh+5V
L19eJMP9UA5LMtR5cXA5+VhnfH14gAIUZLSzsTsgMAJGTh4odLGIgMZbBnAhXY9LdYSL2zjLlEgm
mtvQL+rMnToe18RUWYQwyZ42Pgz1dWJ7iByfrXajPWbFMh6AN9wChC5O+OS2GA599x5KgDaeqZxD
jqgdvjC0x523glB3Z9hJ4N5QDUfSffSgo2I5IeM3sQlxvJCMZxVIdS7UMu6BLVZxj0j2vseYn+HL
A588sS9MS4gvmvILk4S/t7JJGTtb6+9F1JfxiCTWB/B9VNUcvImykaCiHTn8O7pmeaFcglfZ8VSA
x/7APQd8R3jOQW11N2elCDcn036od5BVRvHVQH84hNiIeQcHdUArEEznOd+c8ez3VTIixNIQF/q8
zbV0NuEiEXUxBCq0s+VzLCMls6nUqKvTKymGZyzl2uLcZmbKdoNJb3M0wkGiJkC0xkXEBr589WYi
BEw8m78xS4hq3aNsb8sdQqVhzDhoD2lDO9HCP0ukeBYHFIqN9Wjke5QN+jAkfnwiTg0FSMRVsMcw
wRO4GPYQia7wURwX5IYk7lOy4LqY2/DRQbJoQMIIMnMQd8gcBQ797iGDtDZEp+6ob+dtDI8hckoS
eaUJJDtSjkDugWgmAzJNqwDQWeUVQgLeJpAmgoAUth1iB1MyhuV94UCiCWxMarGBKeZs7xoYQowc
46FCpqpGtipExopof0iNjV3pCI1Nh4vNwkRdTLuo+hBh173xehaHwl8rOOKLH+shoifku1lMkSSD
AtB+RBPDmeUsXcb94VYq8sCnyc5zdXUqugW3siz6rDYqxEsic2LIzHe9xpmUS1XctViSGk+4Xe4W
e/NsTp6no/1H556VmciraO9AC7tvirFPQ8Q9YKyOyNsIXsSE6WjfU9dkmyhD3NpFgxMmMHu9GAGK
pwLZErQ0izawXnxkX4CDtrSm2xGD643TDefWFxe26DbzlePtfYUp3YcpsgNqXO3KgKEbynM3pY6U
B49rlgqwXFUJriOvKm/v+RpHvcCrLVvctZ5SNquF+Au0yCY2PU4pZ8jdPXqb4o6N8OLL1bbHCOXs
CZIJsYDcHQ/FXCRdixkdx9T/hSb/M9LZCexfC99A5N/xLMr36R+7HfuLf+x27KYBZMp9xEotCv9L
/UYjFEUMi4B+qtjMDlS/T3UMPRJUHSDyNqCKH/2a6n5T07EyLASkahPsf0v9Ri71r+o3/GFo2hyp
eC9Ch/XnbqcrQpSUNZQ3jtMUB/ir+7LAUAE38rwEq0GS2psuevHk3nc2fx/p5bYTyJ76XfsxIhmY
TmQ6NKZkWeSPJikU92NByyFZSooaQpSXligGcTDwLYVb194O6JhKto3JOvp+op3tDBbqMjJ6CGUE
BIaU+8H0z3lYSIT/wqttNJgHZL0elmY+FVacrCk7bWEFwZAGV9yjyMYi/T1X4V2kgjrtxupudsZ3
xH9h67HiaW1ZHyugyYDxgjWp1+2KdwG0RzBbru+/RI185no9R7V7UUHzSFh7NcOZTYDnfOvG3ImJ
C8wyV+cA+Vgotju3IK9epZNiKHazMwQYfftLH8gXpHmvkZsRccn0ftUM2TtOESsNp7jTKLIkmDOo
ymWMeH+T+qPm4BAHk4Vht6C620CvaG9GWMbAPv2DLD2o9Gq5Vg0k92JT7p7V807w4V7Xq0Cn5HYJ
8bZbP+ffvbl/rBfI69BHY7/objXlO1O2xwrIFqJq0y1fgm/lkBdZT80LrzCFVor1aDZthqdDMMiv
DKQvL9jP43Y36i7YuWVz0m7zWW6IyIaz942XaKbGxssR9YVUuwbedZMHBx0WD8M1LY98wQymwjM3
QkBndHZVsGKoHIDjzJvIZn9egeeELyXHAbsMnRc3stpDQujiupXf64DLVMwY5LzB3TUhYBunyMxs
DpWBFN624mMc/U/EsT6VdIpDMdBrCyrpdSgAl6+IN5uGPvnoIWEnhDBScltjh1PL+LFhLui/cjeG
Rb1zAYZmRmsIvgU3+/DnyNmxZc7USu6qXv2ItlqNCXOwKwGK5X4b6BQH83CiBCrxQPtDxBGLk14u
APRBFYeXdfBI0e3lqN+BLD5WjkzXqUVhxV4GXLq4jqJn6SMlWw7z+gBTe8iqCGJ+HaAvN8ByEndb
3AxWPtRM1txHK6IXyDzaROCxi/glXyc3butRpE0hcF8EzYL60Ls7f5AepAHu7EjjN4kD9ulsvO4u
J+V3v1D0bs7b+9D2thazP/bAHOBdQVYn25JNFIlXCM83UuJOQc3QiAz3t3nALmXrOGnvCNQOgQ+w
42/z7J4meVdR2sfjGN6GYZsfNZfXOm/AU8zqFHnyB51siNOI95a2fRbUiOASTeoUzQ/SzmyAqTCw
Ii03AucjEdubV/g/1vEixHGSKqvkAPk5x2Wwtvm7seChZ4arfKtdNGfkQff0gCgjAUFcPpGi/qwX
3DIINuPa7tluiqA3kRaOGkh6AFzNI4D2r2iVKik0rju/CfZUIoJGMeDEpN/meC2G7kI8za7crn0k
CHlf6xWAKBBukUExzVO9rTDj8hyh5tGRACzXq3Ws4cYF6LuaqHooR1zNjBbucWyQeYQdJDAXtQhf
mO0OBhxchw1W+dSuW9Ibcu8P45I6+JfichvymKwc2Hhd57sV7UMqh5keSnxfK0VHBcoaosxw11L/
3Mjpwcmdx5xVEnPWekLCz8v8bdNVPMlxFDcQ2ceXOoLTn3F0/yKZFnFe4CVtyAv6rberVN5h+0iF
jHcEE+N/ZGIOVff38Ntv8gf7tz3Br41c//z3frUEEHpdhNMCuNh2je9fhF7OfOgi8L0Bqthq/XtL
gB2gQHRd9On4Kx6iK7+3BBx/gMTczwfden+P9OLszyEY+0RNPHUTD1zEowGgHdoc3p8EEBfDUktk
295srDz52BJBV0yYGt7V1gm5g0WNITdvrihQzx3UmoOzuPuqn2/KhRy7RqSR8u46F7eK757U1L/X
C33NpybBVHalN/dSRPSwleB1aiJNUgbF62SauxVJ0ww7cd7RFvGEYkiPYUv1yQal8tyaBnUCnCjG
kLnDEVriapbhBYjvbVjWiNNKwE5bQBJwjx8I9+3glSCgL2/6kYkYFOaLclceyw55XjYgQ7fU1uhS
1c3C5Q8uJfa4YANBspUBhx1Uu0dmwss8B0c/bx99oz8N3a4mGn00+fSIdQAoUk2xl3w5cwazV678
BvbqqQFMH0cl++YTBFbk/KZKvpssWjS6BANSFN7SaATVJm+Eqq+FErueuMjaMIWtDQGC6e5InqN2
RFpxQ+KJiUs5QgraenPGTDofO9YMKADwkUsetTsiojekMW7ZulzoEsrrfriDrL5r6yozgXsDd2C3
+PreuBBsbJzHH9133y2TqiEvK82fkVvc8WVZwB4odvCb9gM4xLeewD1qt6VGnyKuzYqPbqiXO0fn
EMVr3j4N9MjNFM6Y9AsZY7fFeg28epcrzISotCoxy/pQYkjCf1e7ik9NOg/d04KXkQ/bltQV0VCa
5Z5VlmII3UQ65jys+B6QXUGExQmbVJrQiY3x76tQnpXKfyDvBOWD80cq+T0By5Fg1rtELTT1hQVl
UvbYsYDg4D1h+ZGJmV6YxHIgPYjHMO++h04Fvri9a7F9QnTjUxEhXQPWBEUBb+qA5J9KIoJEI1L5
RQKZcOfTWSPrkCfoUepdXy3pFiHstNV7h66H2sM4h+Cgybxp+QwZWinKYeQ5Qf8ioQxFbm/NC3za
dm1Tgm0GCl2gO8X+NGLFURhgA4uG2I4oX3+1mfHbsNX3eb+EsKkFtkFUxMUwimhMu2BxSjPKswOn
FWsZQBaH00vFgws2+993q0RopIrahLjbtm87AWcCOtguQhYLoVfvre+Gh3DFF89UARJxu3aW/Ee+
EjjyK7uP+vAe8ZeD8rGUxc3zY2B9BYaLPobyt4M73dgIGQXeUk9xr6CwwTlY0TmY98LfoFEg2p00
+ERj7Iw6zStJnRq7aEwAM7dpqxt0Jftq89rM1PdExG6JDVVrsb2D636fV/6I4Ndj3bjposPb2vOw
S6DYaAJRE01QRZ4MwuLx3ARZuc270qz8VFWg8nsXburCVsRQiHnH92pOQDcz2fcAT7HDMfVgT3t6
umoccqVhHmRVaLoM5MW73OBM9zNLsA7H4OsCiW5UEMRmxJIrcP4PrXXFB+uP514RJXDF8Hqse64W
XIH48y/POusGfgemEbuqpiH3w+J8TtaHp7ytThLWfA+LfrJePaTrz753bgKY+JNA00+srw/Twttx
F8tPrOefw/zXHcW3bXkAiLhoiC0jgJTPK7XUgLT8ACJHUbJapgAryw455RqUoHkfeAWVGUcjBYgw
+AtJSqAJ2Ix1MzV+GzNLLRjgCwj7KYxN8nYA2CAs4LDhrATw4FryQf5kIGTwXhT9CYuwTp6lJFQF
/IABnCB8c5PcshSNQC8+Wr6invLXFcDFCPCitARG0ZBDb5kMrBGCXg1Mo7e8xghwY/GJTEN/VImy
VAe0vA/AoTgq+kQC+8BBty8GoCMegBADMKQGIDIOIZaH1cszteyI6yk3dSxPslmypPrJmJTYLiMt
d9K4PqRi8dBxf79ZMiWv3VdVawe4rkDaxkIsFmfx0YlFo/e08js1nbb8RVVnWvp3HWbLEACMwK6V
CkAMt2QMByLjWVamt9QMQn2fruVoXAA1CJPh1raMDdLkTRxY7qaxBA564xR64WXqm/sVi0wCy+qA
RMk2wDsd4+fS0jxVsTwHdtJxAPoM8/XKsS2ELVVcBMUttThQY8Egbxgx6I3VMwjpfWPhoc5iRBsZ
ryILFq1mqZHdA2y0YZiNJwsgMZBIiJmcWBSSZPppcLk/zS6z+N4BK0g+MT6XV6qboUhC6YY9JqxP
Ns4VLLMZgbVr96ePNuF7DszGD0WIwbXKwU670ymft+jG9UfIBhsWkeTTTI9rUF43Pw27hRrsR7KD
VdmHVrPmYhdhUG4xfXk9O+I0OnFMZXVIoVfPBMLASP0ncDQ4IewYRydyAH93TelUHLrS+fSN85mb
4gMlBz5IqQ/GIWmL2dCrHbx1vMbJd2Va6+a7ruoOC6rKvecIL54RWcMgzV9K3a7YYTeLTGHtxeBO
MkaWccdXApg34OcCH3b/AYrWpfl9jXmWQLq4rsbgxu91nlRL6yI463zDx48qjnm41+IE9jTY9YO+
A6i+F0iMpMwPul2nnToxo9OnFbgAyPXqpZv1mOjmgVGT8oZ9a6Ph1mD5X8y3+qgwpo9Vc7vauX2S
eudikA8k/Y7D9XaOVJc0JS6BCkO/S8YdDjgIfnREyXaRZLcKQbC5h47PHkCn9gZbTQz2YpULRsva
ZKOecT2owgLx0B1GPmWtVSJ6jgmwkt77NoFPRGJtH1QChzMEDLjMLyMEDR00QSJbkrmQOpgKX1Fa
dqvy7oHvnHHnHgKPO/EAkQRrr0AuV82VclFqIaNU+XwGD/+MhSEvyuosDILL5OkraRUYVUWQ7okl
HiHPYGVgl7ikOW7Ao+l4pYti1ysPO5ug6JRW2uGEf4NNc7Vp+ANd9dFAAAIJhp0ivrmsOlwOCDRh
65TmV60bdrDZcBBCSHJYxdMB0lItvYuC1LRYzamw6hPf+LNQbQvlxNnSwmpUSCZ6KayJLV6xmSxR
oDVi1nYGoFQACGsbD5NVvEZHfAQKPUwIMSzoJ6hiWHiwL6JpurQDRLAB4lkjgGlKyGl1k5N91CqB
njOfcXOxBkvWHvlMThza8Z6X8hih2+rjpvehIm9rhKTEf9jknwEaa87+a4n2Tw+w+seZzP7yH2Yy
YDfUrvuLAhso/JNMCwEWGqndawDM4HdT2mf/y3XxiEzsM4n+Cin7FlLG/mDfx8YPQM/078i0QKT/
jCjD23Y8D+a3h3mM+3h1f7Sk/dIlajYtvS7bt2261vr1Dx/LP0n3UPcfTG/7eHYfGQsst4Ym/VcZ
eMmxsixnerlGljrzvP7L9BSynrhn4/yFlGA6irFKoT0MqUu6I0ChA8KE2RL0vb055V4qf98F44FM
oJChsNGp/0EaRPG96LKwUSfTXIMYKpsbBDNYffHXefBvkJSTFqtcIT5hwyArsZcK3YjZplg57KjL
Kf9SzLnyfUToUoPiBI2tan4Mnu27ENfNKGzeeHQK8iIa0qZRTb8vOOt3swsOm9ZYKYK8jIwLN7wJ
+oBkTTi+RGPhZ66HqE1PqboVWrmx78l5547oOJFFPa9j9YZG9MI8L8X6LHNRxTocmk4eum7e0hGL
DXLW7JHNuQpLwEDb1r0RRwE3ovqrrckN+EQJnWfbdgsauqKfHwLRxsTpj/4QvdUOQWh/Oc29I7EK
1tzpOjyJTaMl2mCqzvVpCIL33F1VDPHpUCCYs9TV+4yoOsQmOKYsPED+uyHYOMFAtZS594o49ila
gkM7sAvtsB5v9Narxt9S3vqAbYYDN0MQSxo9iWqbD1vd3GIZWg04FLumKue1HzxrnQmIm/Rxbtza
Rofg8270AbkpmZSTLrMlrI6mGXCICexpygXfY4cdaHlevy00ypQzwkctbM5iXncAKU4aJ21E12cq
/USV7JpP/HWat5u6ovdlix4Qezb2AV2vkPs9Sjj9hRbP5WrQkkTq0KzqUnrNA3dli2V4zbPXTU9u
HjzzfNnJESkjNK9Ej2+cztAi5wio7vQq8eaxlEDvCciJGmODwWQ45iz1a33pFbhihMd72M4d/qfh
BCEyyOOCB2+4C3aiEq9FDkFXT7PYkWXBZTN8GSkOIXoH6vdvy+i8EuI8TAEUihr4w6qjxGHNx1bn
d3XrbnFpikuN/T2gN3t0wCR4LBGtx+a7MimqAu1eC1PTRUaT9OWKuhKwq1BPHaYa65H02AvG+IOI
6MuCpTE7grgsaoO9e4R6cFxxJksf2illSNmgR2jK7F6HmMAW0OnnFbkqK/FOWdT0GDxolWdqQrph
9nhWobl1eFik/4e9M1mOG0mX7qv8L4A2BGYsfwA5JzOZHMRhAyNVFOZ5xtPfA9atKolSU9Z2t73r
si5WTgAi4nP343blW68gA4jKoRFDiSyNjvu77v3GzSaJ2FAc9dFprCPjWJWG7Nl8FY6alCTCJAC3
MeAtTwvNGtKHJK/amb0ETJ3kprAMpSUUT3bIwMUfQp5pq/rQtuO5hIGz47SsOUJlYCqUqtliaoxX
QdQdDRH0TpOU+UbM+saHRbCaR0U4nZaWEAqW4XYWpWcTdR6pQmouzGID1/chlc3Tl9pXX8wEYK8q
ruJQgBgTjF+mVDr6iUL4MBU6WUR9JCNXZLeF3kncqjDJHrokvxl6DiQ4gs4abjaeLG4da55qis4j
Kn4wK5MHItY8staXvFMDt+RYyzNqH1T+FvUbXzko5bk9YkLZhHp4JafyQ8LxWO3k/YAdaJOPybMW
+zoqdEuUwTfACsgjxtvIfC0HSXHneTEEasBG7hKRDes+UjeqyaGeELDlhtacrOYoqq9mKzmpSrlN
iESJymjctGmckeGAQ7rE45G3U4Tf4RM26l069feLMTpTMsJ76PQe7sxwNQ1tZvPM6YjAGcVzrrUS
z1/pW9XAoJy6OsW3D72tZnd4LtSU3Qx+5X7bx2G/ybVs2vDoDx/8ildQuvQuzzilCFbPfTfVmBTi
4JRjnSeQrVr4EpTQ0QrzTq9g/jgauiHexgZHgOb7a3L6d4Y/3Vm5Pj8CkoEf2hXNWu8C4ZjDuG45
9m9KuUdNmarCTflDB4G7e2SrzFACVDWpOSiCrEphu9X6nJ94KNeqlRFzzoonoy93ObOn0ZxWXcNJ
ZTL3STXdy2G86iPCHkUZ3nepQhCysg8ErftdIcW1V/gpO74O5k0py0+IsKqnjlr12Bml8EjQzMTV
udA55pVQqtVHZbTbW1/Rx7XVSbYbd/L0Z7SMyPOvw7cfBrILrRyaE1sNe/HyUuT74/KvZJmhWkGc
w1aJPXAuO2Zql6Fufkdv+vXraDrlNdCBf94EgDAiCxrmpyxNrxpDueepdG1l2TOPyxoOz+KVnNJt
P5bocsm2UcJjiOPIUvIDT6qj7jdObCeX0O9uyMmuVBiShH05fvlvRWdgvuIW0GbrZMjBy+cbmF++
c13hptQ0wE8yk/vvN0h61hXgsxMIRZiNg+lOjkG6FH+KGv/2Z7B/1MotoPWEn+F34Q3kO+JC//FV
iBGVU5YAcQPi0gBS13YMTjSQtBXrRt/rJL76R/BixSW3uQZteTdYw+LpLXlQqfJljrN1iNx26ULV
vs1ZlcjzniSZc4xWMG/SFSgPeAhPETnR0df5zhXuGyPDqjvZ+nyji/QlaVNXpEG0mQcG5I0wVmEa
JaukVb9KtQJKvQbqqVbIyprNULXCSxXWjHED5lZTaOyqWXnDdvUymsvwDKIuh7yraQZpboJH28pi
iK/ksMyYTHYh+ybAsKEdm56Igi9+J7K7CmYBQZXgqGeL0GaU7daAyN4XLHGixDwNY29VyspZl03A
qDN2FKGmR19+6bQ1U9odz8UnS2JmYw5iO8XaU7qAcfISN1WJKKCCjZ81th4Q6RPPDBjjjFK2rVsQ
kZkY953cvySREn6dUn0jG1Xmwc+9Ugq4mWpTrSO1sZ1OGW8yw0hPNvYgAYT2UJnNn8SDf3s5iF9e
D9yQwMDJ3gtA3T9eDz7TLGRfvT2ZQnlR7Sbz5rJPT4ZUNQ7P0+egwbBJQNoVxuhZUcpEV02v+Faw
jYWJuVWC5orph4MP80ovrEdVy8N1k+nVuutkbZfpCpJ/RC6qt3prJRdatiVlS8wOxIxH8pf9CA8i
GWIzNsrqNsg4pYuQycYM/95py8rJy2oNZwomg/FiEzBwewH/ts5Q8ZWJvfOEa7QVHk6riqS3lDj1
YDxi99wNvvIHKRDCfQOPATvdGvl459vx0SS0XGHbx6TKFYL/a1Ju9b6/SuLwtor0G+KBG2NqH60k
gZmWF/LKqDr2glW/ajpMkRBASLjHTIix73uYG18krgm3tNUnoUqPIuwrrwLeCONDXvczIoE0Fiuh
1RtZjnd23q8UjOGsRjCeEdUtC08GYjjiTsMyT6Y5be9I0p9s8i5NMb1gu/paqfVLbhorfeJ9djnA
4ORchOPRzI31UGheyODDjXLTVezokpRSsgM5toKcszJS38tKNjSFEXAu4WbsJfsyVO23yJTw9E+y
q3Uxca4ucY0mJEFAak8Y8KnUTaRiMrQEFn4tmBkmsENNuvCI2LNCd3ooitYJpOgadLIThMVaSaRD
xioeDgEmxfSpL5s1o7Ac4osGVoxVM/WHdcvyntdZ6XVShQUgkTYxVos5hv5sM8QeRDCQPuWhOyti
HQum+IN17VtiG+QtVszqmFs6u942BSFVDuV2Ss29FgyHUokrl7Emv00ZCSBsGM4AQUkNp4TUcGMV
2FVn5q4/XBs6aj4TXOuUjWtjWhfalkKEh1JGKs/kK0Ov69Xoa8c4hOmCqOcfSM9ikNEhXpvYNTdD
T3SbfcO2mNoGIom5rXt2IWaB1GJi8O39WvxmafvVk/u7O3Wxo3+/PiihPeEoTaBAse73zVWWj4A3
MeYO56S+EpxYPl+PfuRM/rlSfP96HyRUJQxzThc8GYriTYABHJkCH/PgcdC2n7/QQln9bjTw5ysZ
1JbQaEPUB+TAj59saNq+iuV+PM1iwvoQjUDBfeVObwJYSoXENYevCe6v7BRCFlfWEvkHCy9xmMAd
y4iLX0ZI3zCIX8ZctZxe7b5ACD4Xsnmbsn3j1OO2jXI7BkA58pYhbhs94wB7kMK0vAm6pF/pIWyx
TO8Oeiw7bCxWk5AHly3eJm9V8wHA6G05px6TlH2ntrtIVQ5zMO10oHkkRQ41yzY8n0OiwI7omMKF
lgsg4SEr61WU+rsBnnKcjhaj8exllifdBVr4VI12/aAsOBClUYPffKs/zlt+/lLJpX9/uUAtyaOa
xNzJGp/D+XWyfodw/M2P9mHhkKWUPXKQTKfIui1j26nU+99cFp+/wEfcLHUKiZwowXTSletIg0fd
ruRwcj9/keVb+Cc4/9e3ROiMLSlGBuPDpTeaDXA5jU8BbkRpv7ZDxp7kPhrN3/wayo/XuC4T7VCJ
sQmW2oV2KT680BRHuFvnEoiGI76yqHl36dr3pBVOXffByZ2HneH2x9cbYj9fxtVLuppeuaObrbr7
/AMvNW8/feLvbuv3N/pdNMTuI7u0Ax4jJLE82cVdftttsku4tle2m9ZrseF7XuOOc0gQrGyv7Ffa
Kf/6+btYLCc/vYvvb/kPNFn8BwBFCNueHsedsjKddm1fm84ZKE7obR5092h42cY+hetxm9/q2zvf
CzbjlueeM29ADTceozPP9mCbbMGCnkMnhMHvfSHzdZLdaaPv7B1q+7a+z9a3n7/1hfXw6Vv/sIOW
lAZFRIq4Lp3CKdfNW7ku74RXudAKvNAjSLvO9sXm+utx1e10lwN7vCe9vY9PWDddHyyk84fvfvn8
Xb2jjH++kP9+hhofVocIOHFtGryrcGc7oTtvoZ7f5VCBXBz9uMid2kVb3Finaqs8M0hbff76y+X7
88v/cx99eNrwqJGAMUzjSZ6LlTkMh1lKTn2Hw+zz11meKp+9zoenjhVZat/P6XRiTw1w+qs8bgfj
dSIvJLeMotafv9qvf+q/P9XHibKU8fDXq7iDPJ9w8rspg8v/7QU+nPnU0UoNI+MABRNBiZkD2qb3
+Sv85ocxlxvxu9sd+6CVmxM3WlGeGjwXpfI4d9ZvfpXffU8fHm6NSBGyzbg9jcuvMqekmmL3//Y5
PlxgHRmPLm+y6TT0IyriCT6rO2fXn7/Ib64u88NTyfADaWI4x2ow4t6y81WStucF9GpCBYjRUvvg
f2Wtf3sC++Xvo9vCFOgssr0wYr7/fSzYZ34Ztd1Jy77V8TpRQ4Z8m88/1i9/nu9e48NNk6LqSXCK
xpOOA1aSL1n2m6nC717gwyNxTrJRjYuqP8k8tBlGJ2r6myvsfX387Mb/cB1DULVgk3EdczZwKjfY
41y64ojg7ms3XAXnzskOn39rH2IFP+8Nlk/93a0jmP+JVglZox4ZDOc8Va8CXtsZXuA873rnGgMs
/4ejrzJXONZFcm7a1bKqXz9V1+qeUzvRFVzfzjZ3w83v3t4vF3LCnX9vXT5eOVE9yBS/tCdxXhZy
ySEQre1y4TrJRvMecmeP7+zwTX7lcFbfT4fBGX7z9FqgfZ8+jT/87r3UQMSwJ/YSHoQUDzuIginl
kHo39sk4qpvOe4L+4eRMbNf1ptxQzfObJ/Tv3sJ7Eva7H0kaO0nLh7I9SQfqs7D7OfEf+lp45qF7
G7flKjuaG6Ld3wB5uTQWnQMvfvvNdfKj7vjTdWJ+uE4SvMjQ77g06/W4BrHjRMuubpe4d/1u3O2i
ZdNyajPnQV4XXrYuN+Y1DWJetwp3MMye0988Kd87GX+6Vf653fUPWwFLstGGqKU9VSttY0AL9Mb1
vJ6PkICdr8GO3JZr7SD2OcVxdM37FVZBfqJ2k6xvI2/ZJPzv5uC/6apFxP5Uuv9/zhsN7b+Aiy1/
+ZduT4ZKt7FMo4xT+EqS6jvdXvzL0NDeTZMoFWZqLq2/vNQGRc/QLOS/A+N/W6mNxZrNvF03BIBO
of9n6ar3Re+fy2k5uSg6ixPue2qMiKh/eM40HVgJgNTSCSpGjId010f+4OSpkdPD1BbrxJxQzDXV
jcPsIlugYvoItW+oQApPbeGlcbuba9xzJaliF180rqVh8r2qsgZQk80rePovMKSfS7m6wtq1o4rD
OtK3V6+YKDt+SW2gXcNbBAdGzdbN+D7mqdSvBnVtvYmCtMylbZmyK3Qp3UHlf5BH8xvBoXEdD+Vt
Bk7QFJlYzfCanU4y5xXWpUetKzsvEqWH1j3Q2ldCxyikdY5HmL6EGgIEpHTNV5H0umwfzuYQeVRd
AfgZiL17/qg9l2kvTRdy0la/Tkcx0NZVNG1x1zHOKAHSCI0pM/CMohhsCkVrgiDNlK3goFHgxaa1
R/jGQB5fdzHLhE0rVFbgU+3k+I/WNN+IK9uOHzHtUNtT2t8rDWNDfxooGLBx2ElTcWuOiNwiU57j
tEEEwxBIGkj0bgNk0/CbZl/J+WulhGhCdHgyyWR+KEheZppyqZKA0W5o6t4wJXcyMu57gqcZSR2N
svaYa8UX4srYz+exOGJZmlzJtFfwQs5qgC6VFqdGNJusDtepbe5H3X+EioAfKlGnXYFfrss1eSc6
hr8hn3uFvU9xfYOUjpzOqsv7ebCCNtr3kcnUh6/PsYQvMZ5Ts7NvyXeplfbrrMRuZBvmQcsiMJXt
UEVfkgbn6YqZnoFBdyBdp0wXuQGjJRuMGJF1LcwC8m3QTxe/qhEWa/VMYg+VXdlWjXHRY3Pnp/Mm
6TuyKXPj9W1w11rZebT7jTIqOM/k3tUyfvmhdMJYp50hix/QmHG00fsxWF+AoGGRr5vt2AV3TP2P
9RDd1ln3GLViK0YoXHEalq5RIYDQFLcZ+0Ff0yqkLFLeETumfOAnJw3TxW8xanJf896kKdBXVKDp
W+JShPvJSc/6s1ITz89lEJVdejUH/g3D9XI36W1wVCWMDd3wmkv44Zq7umM8aVf2JQhjr2x6Rufz
vjbEF9mOBy8u4k0T1VtYYsyCASpETfKcdagwkknWuJ1MLPClF5ZBhJENEk41DS+2L2gQywZvNubT
IPdnKiEfQLgfikbyCrHAaPRXtZQNZuHx7RyE50FoD1WN50EXX9JKFitZgW4KrtyNEunky/YmzvJT
FxEdp+fytacLkVyxf7Shaztqnx7SlH9N2Ieh7VpnqLOdFXTHvs0P/JvzahxVdU8hRIs9ekiVtYig
YRkzrRA3oSx0BUkreIojZZXrOMhrXf42E+5Mov6psYf1YPeryeItqNZzSzFX1kG9Y4TrqaJz21bd
1kH5OJmMkJUM/wamxqOldDeWqJj9jQOyeq0+Rl29G5oaBb/3gSxqFzUOdtTGXBQC4e4091d6P5B+
13MK94io23W5RSrZRFbyECvJMZCbezMvZYcChJs21DylTK9CctaJ3D0kmXZbR/wWWdl/1TJuNbm+
Ai90pguw2wWT6BZXwzZVqkNlKzdcJPuiQ4cK6/YMP3uNg7XnquofM6Xy5lBL130jXxfpcJBscZDI
beN1lHbaROSl1tZtTcZsHrZDr3skBY/owJs2nS9tn7SOmVW4lurDWHLJWiS8sia9p3DiOSFyolX6
rq21t4Z6YCgRO6GGX/omutWt5o4xRQoYgAyYHu7M3npNMA2JrAP+R02Lr4A8a/N9PivcYWK4Covk
EOE+GlP11l6QjDhfHFFUshtjutf6aE07yFnPikNkWt/el+T/7k1kthH/fm/y/7OXP4r6Zz/h8lff
7UsWdimYUlqGLfCmP+xL2JRoxnv06z3H9de2BOapbMsqt9o7sPv7bjTrX4oAHiJjJiRKvuBv/hPG
zYeJF/sSmqFsmVIqBHPQ4tqHiUBRkmDRJ785y6l6lxTNrdLoB3bil2REJh6WwGEgO0MmtG08TTHL
PKFEf4kntmPn41dHWzSnAYcMKUZZwwsbloRZELkMDGWC9PWS77T5b+U89UkLlGJnB0BUyjC9rZe4
5JwXFtfpeCVVDLrwFeO3XeKVEkuhZy6Ry3RpaKxZtE4yeUy4qvqV2c/5MVbe9TgFGrMPR0pZkpwN
teLWEu40wpBNRp3fhfkSG1gSoHLd7CqUat9qg1WTCBLBWvZGe9MXmm9A6Sn6tiBQKi3JUpT8q3km
azrrmM1tAXoTe55bE0jN610sjmIJqYYvteq2drAtCj/whr4DELSkWpkVpWwVxsRTsEOvSsKvwwzL
jGbXPzpisdi6B5jcfCB8VruG6Owk4SUikyLNx45U7ahZzzop22KJ29qTju2KBG4d1NfREsnVeotU
2CjOiYFPJ5C7lbBQWhBZUHuDoNmZS7wXk+CNsgR+bZK/IwngJreos1hCwZEIxVpZvFSN2RMZNuC1
lX7ByXsJFPsJPshato7gaHZTF2mOXofAf3Ki5tju5ZlgcqVSwEVvLIxPm2YkgzqMVbBEmYNWVl2W
nodAIsJVROWmkuN9k5h35DZexBKKzib2ILC94j60vUIJEZcR/vFglltWRwU2dUXckM8yk7W2VTbM
iS9y+brU2vzW8gnZWzR4lklxnrX6a4RjYqf00jUX+ItdRAWbVwyHYSIecadf1TT6eJKlUVE3qG8k
6N96c5rWTYtmXTWWTyRDf81IZ7LBVELiaAA3o6G71RHlD5kl7/s4fipn+zBXgqZtti6AR47VNMFs
lwm1t4EvnCJhN183zamNZ26f/i4M/NcqNK0t/JgRg3t2CwiW/JnSPVSqSXdvi7irF3ua4qninoxs
bTX5zgj0+zqUwz0rNaCeeL7lvzkcq17v4cAUBcxvo3bfG236mmoiYS8/3khsWjZ8wxO+9tAUMUCF
GY9e0+T5vlE6BE6JRFM4RZWTNinJxrEpHgMZpFAehvV1bOg2dcSVN+aTwLqUfbFAvVDGi27Qx4SU
lQJkj1rmKz+NSYhHCZyoqVV2EEvJvMdGiMO028kziMnKYqkSON2oCNacylChji93qUURRhO3s1NU
+VZrQatLwHqKuSXjh65YwtvhTtNal8KbEcNKaHp20HitRuEtNTeepOnXcWBzMOjvySEe9LrbFyoj
Rq2+7U2ACHOTbUJKUCHLgLvPE3Hqx+4+KsAuwKS4zrTukoD1t5LxCjPuY+MDL08oXHSyIv5i9Mpe
G+Xt1DTsYJcgQ8fQHxCLSlxoPCZNtTLlulhnk9U4Sj1e+bV6SfIpXWEYXplKuVc6rHdT04GC95+j
QJxpfjtRVHddxSYgwr559TFVO10yP6Zho+Lws6wVrTzPTWbS1kHe32mV8q4ItcMolUuDLVcNzYRT
8kXtYn0baUZOumAJd4cFnVpL3Pu/SzhzAFY4hsX/fgl/KtJfDBaWv/l7ARf/IghtU3hhC8vGVPbd
Aq78i6tXBltu8nzjf/4zWFg6N3SA5Tq9PkLWv6eWQ+MUKt5aNEzQ5SzA/8kKDjXkh/Hh+woug5RZ
7IcmpCp7GS9+N7tr6yHOUyXGVdv6klNarWf69dK2F7qxwqZ8BkB1F/UiPSs0uN02nY83Xxbdtpt9
AZ0Ryc8uoFpVmnpaIgwgJzLKcMz4TZ0NuiQUmZBa1b/a3cAFOhXNKqnS8domGOhmGV4Zu/MLqM08
aTmRO/RLeX0UFmfaOpjyDnlwIwJIyB2mvVXQQzhqhLinxSzdpqnawfcCBcbZUJ2suwDi1JriKcXD
shmd02jMXM2wMdQbw9bmwMhmN7qvCAtfhcqUr8medTQSYeEQfAVnpts+JVGtva2gV5yDgTlqSyXa
dihNG0qGam85ZGK2CczHomEF1so4dehCOXbVtEls6WnAmuK0EEhtmGmEECiN6DQO9IG8UoJ+T8PO
oS+sL3ybV6z47ChavDskv0HUJeGz3msvo8GNy4L0EDC5qfU8XZVhwPwliG5bQBjgJiQDN5SggCEI
tslMmEAysjc1CFMwesbeqAlxtTMhX1uP8RNJOlBAf4C1ps+AotOYHrjytpD8k5ZOrxbpVXXBDGql
+oc/NddSA/47sTg51y2ujgpvjkoNFeD6+aQX/KRtOXocSemiV18VtX6Yh+Qr9UkY0kLQEul4NujH
dUwStRgFZbyNg7LDAInVogNWCOPwjFG7dZVM2+LgPxZjZq0K1BeHbPNTGcwXTdMOccXZTxqpaKM/
Dw8eIWrXAJxonYnvxeorFVv6tDOX6gUzDA6Sr83Unoga5JrOws4w5U1qWIU7C7O1NK2N2cfhaMc6
nesp6zEAMVNn66hk4sgED+RGT/DPl0XoBboVbSY9gW6O56mRZiJqTN7c3qoxlQTJ10opNeyPJDCj
bAIXHttran9jh55DvuSo8XdosEgj8HSwalmmiylzy6TmJs3zkSubZjQLGHKZZPJdHmJ09TVtKwqK
OcALDJivjIx41+DOmgzrf/LfpgkSmmTpu0TX7+rWf1ZIjrhmorqmaZ/IKafE/nTDyYaOYi46nSi7
1M6kQZnEW3XrliIy1mOt3fbUabl+qx8BkJeunU+EDSR9X6ddtBdTcai0VOyqgpRu0GJCUB8bKhOl
IVgPM+BqbYg2+O+jxAUpsGmmBILtFHpWlb6Gqb62ipJbndukLM2RLzZ7LsNmD/S/3CUSQJs0EuIc
DqXq+Z0U3pD8DfYklKkDsPxTX4EJj21jpcC4g0rWc533kID9crxM9DKCZilJskwzgQtF8bekXEnR
NYW2mQLf9mRskruyyg9BKJPRCDp13xjBvK9iIcFmwUBcVCU9zbSnz8m0l+TgsZQy9VqJsTny9Et2
UqTZbpiUe0ldsC6U6xlx+VSZcfCtyckChdzGFzOO3/A6tfCUbLWtnf+un+/rp/Lp+knrR/tWv00/
H4KXv/t7DZU5tWJaBz/9XvzBBP5v9pn4F7E54KvMGfU/5/Z/nYIZzjODNxn6aNzF/1BOdEqwaLpe
dF4eFKTx/pMFFGrsxwUUJ/1CUCOhp8m0bn0YzWdlqhXTEnbN1Llfl7JPYls2n0wr4MnWPSitcZ/M
F39iqlmJlVJZl64N7hl9Eu1FeHZLLfGqfLoyjnEgfVWH5D4jDYDLrY43RMhejZZC3WmgQS+Lt3KQ
A77virUuat8N+5hyKVk8S3lfvoo2h8oBOmkFtt9fz2G8HaLa2PpBvc/pG3ZiNXzI9IIaJ/tpllqy
QFZNgrZ6meLkYofqC2PKR1BFywlqvCIMvdQQJ4VXVgvyh1Ec05/+YZKtZ7qOokNe4kAVg87YsYzv
ky59JhkxM6VF3oIpujYs2qIq5blvspOdY30xzFs0BB6Uq8ouaqJfw30XRk9WJHFuKx6aWgr27IY9
u9HcLO9PIkaswwgwTtGJsl9mofjPKdj8oyjbM20oFSeE4WRzLuOcqOy0Yh1XLQeVghDObVBd1WSq
2+SJyXvl8BY3TTOzopOKAoHJQZdDqZvEinXva4wQ9abZ9gaFoIy+N7EvHbGEDNuiJWTsR91qKOKb
khXLoAZqrRkhPR1pykYh/aOWwsFrlYYhdS3TijuHgD27ayacZPxlA1c/yZMwp00rirR9mvN6aYqL
NaBWy6xf5XmKvEY2jsRlvKKJ2QL4tmN15nFo2cOU9ikrNc+IAcIWU0x+EMS0ZnomRdgOoFoDzKjO
kHmh3ATzslAOvQBwo3FYMxs8nFGbUatFodcUwcJss/nabs0XvZR2mIbbddcgByyyjcL8HvR145oo
OgbKzrRIPFoV3+SL6BPyy0moQDpqULXIQvIiEFWS2KVWcVWiHPUoSCFKUrlISmIRl+ZFZioWwWla
pKcEDQoeFSAz9jbdIk/Ni1AVoViRGlWh6Y3bbBGzSFWiF0wgi5MC5i6eajLQ3/g9DiTWzxpSR8JI
kgyDTJVu5pQ9cLaJsWXM+JKk6KFlnFksc82ZASdIgSPO9p2yTD5TRqBY4F/jJtjZYbChEzd1DIal
A0PTspM48Rk7OS/2HUPVgt6oRA7OEsPWnKGrkbAjTefhqDGOVbviqlvms2UyXlKQAKMfwc0xvJxB
bmkXO8FgV2fAWwWMwDQmvvWkHkpGwAOjYKqp03VHRNMHED8s0+JGm9cR4+NymSOTotjXDJb1qDww
Nd/ijez4hMyeY4bQGsPooDTPUHq/NsuU2gqU26ZoHqh4OPhjfAUx0QuD6SYnQIYOFD4kKQ3jQ/QQ
MADXg2KbGZGFeEGJ3TIjj8z2Sl2m5kSTLxpjdALJl2yZqwdy5YYM2ntbfpSXyTvFr6lnM4wngnns
aogp8zKnz+fssWNwb3Z0T3BmUNi7uR2jfTU1nimg2wzSsII/sE6RAPK62zaLJNDgUwJNupob/zF6
lw3MdwlBWdSE9F1YsBaNYVrUBmnRHWojPdgIEZpNa9miTEDBO1BMftaQLPxFu4iL4GpY1AyqfV/7
Rd+Q6pRkjL2pCvvEzANwB5GwbNFEIsSRSHTHEbFERRbBx3E7Lz+haumvJbJKwVRQRWaB0fgwIruA
sDrJyQj+gGqyGmFGWRSaaNFq4AmRNuC3qIW+zhc9p7LYAyHwTHYG2wjJJ0H6SXIqNhvEIA6E+wpx
KEQkAnpzAQAiXEW7w1EHHGN+jVPzdl7UpXzRmWQEp5K2P2lRoPyKsDKSlCiNjYlEpS1aVdwa2mpY
9Cug29zLwVuyKFvmonFNiF1iUb2EYHopI4SZiyLGRVG6yqKSGYG8bZDNGuSzChltQk7zkdWgg9Bk
tJyb2Pzxme+CKX1oqxBHhXadLOFNFDolXmAjhGR1rTgPaHjRIuZZRr+VUPfa2QKkYlzmVCDr2Hw1
4iwtciDR3AvzzttkEQplkS85FCgvvRgupWpcNe+6InIqGmO3yI36u/Loo0EquR9RoYIsGVZseyuo
yJFFRDGhcysymSfWfCTGa9QcTxszyG2SZ7rlZG2fr2aJIZZCnQH1C/3o9F322kPiZToSr1lhKLHj
OO6VRDdpRGVYt1SwS5E30o4OmMvu9/jHM6eSpm85w2ASFylEvjxx1bgWjgFhaaWn6UNfBArISKP2
zNDKAV82puRkscEhJQuOA9Pbc16J9jEWJkwpGBISFKZBvzRDPu+BOpB9GlLNwrOSaWJVDnjeZyEd
B7Xec669VqxkrY2gBJX5S1b5NwGx2K6ixdykfFBJLYIdonr0EchdMxhWtSDb2SfjpiPkg/7bvvZx
5woa9tDVr/phYpEhsUu2huC+Q+rpjrji5Flm+MKT9Yus1lt/CM+yPr75sXogik5HfBituJAKt5HU
R8A/B+oQrvwoVWl8yRB/kzVN41ROsUTX0Ko9o/bPMcVdVPrecGyDM5LNuzIwjvoYbUU9O0FS7ghq
E1qTE4+6bwD3sQqENbttRxaMYpo8uJ53eQrDJMPjzxlmJ0Njoq7EZSuEYFztmHdtpCTcBWZ1ICj/
wNTjkOaCznFWWtVaJ1b5laKnVZwEl9FnpzDp5Wr2w1UNfUiv2rcstI9SnrsNF904dofOTr8aqgyt
3M4ZpUc3tRKvDCUiiE5fm5oZ23CUb5sEHFubS5KL6O9MyOgzxCwf3qbtx7LT2c26jcU265TH3tKg
W4lxrUuFq5rSxNaiWroEK57uySPzDDcQOpInDgI7YbQCJnonlfEX2/Y3qjVfM93GmtiKu2lgcBuX
DwW9dh4YRowIffSHXxcMeuOhW9GkeIJ3cPID9ZmRBoHtuCTkZTIviXZ2JNvrIPAPfTK/lZN+aksA
CDzf26OhcLEExaATyzExRk2lWPmTYZ0LQd+jxoE3tQxAvPIl1aRj2o6zKwXqummk2vH1kLF/IwPV
n4wnfYinW5snjcdY4DiCVoHaWzyM+nwpJeNJUWIfDFr1KDOcxjPQrZOmT9284VNbvtjay6OnsjCb
F3a4DcBgunqZXJXUXieBNJ8Jsx9KUFNUY5MnqeqM5iMiK9VU5Z7GP+G29URPli0ayw3o/B2ELHKL
bXecYXY7pa49jkvIMJYJsdcjM45q0k4iif6HvTPbjhPptvWr7BegBk3Q3SbZqkv1lnzDkGSJvg0g
gKffH3a5Sm7KdbzPbV3+f1lCmUBErLXmnN9FBpwbhzGN6HiWZ3XYOkSnWVhE8uhEteGVL/NHPSE1
dHndHQsYpE/6/hajtvXoxd1NWYsruHjJmW+V2LbqQ1Trt2bEiaaydWJye8Bc1VovsrMm0ne9K9pV
ZBdvRO6hdLFMTNfebQZdM4FYlYG3G3K1MAi6h8lorv2xQfFTuxepEV0UbrrNXTGdlmN63+T+oxit
a4Z01altpeWmjxzcYJ14nAv/4GPOCVI9gSk28Is1InErxvbruiR+Ls0JRZRlze4YiUK3bkYjNSkj
2laj0M4nYTJCsRxtYxpJSIz7u44pU+0pqsr3SGBKse8EjCilHHxH7PE+ntvvCigz0fXRNMvkmNY1
Es9zSUqhL25+fZFv25yLPnC5iGMIh+gqKDtLFfeuzZmFY2tpUia4tw9aea7DB1jiKdTtry9DJfrj
Z3EXU8XStNU/d1vfXSakE0wVoHNwN99UdadZv234WfJVDLiYZGsaGF+//RjSn0iYdIr8WCoeNCDJ
T7/997tMmvmG+KJsxNDf/n46rcyZ7KY4etQd9qXt/4tI+UdxN7fh3ffz3d8vnIyoXZbSoyh2WhFk
xrYliQXv8Ctxn7/+KD+5FFY2RwflYtNI978bTeceMcRMTbMjFsS+DTp9hRc5EkQ6BbjZfn2t5c/+
W573+en65rYsj/i7264bSYEILs+PtRXAk7Opu7o1a+o0bH99oZ99qPf3/7sPVbpQjnvvy4UITCgZ
CcZb9pFlK67/5Vn7yXvp+gbyRY/d0TK/NylZdmlWbLzlUVrbkAz7cWOHL7/+OD95Xd5f4vvHbZY2
ZyVbL4+l95SGj0L7PzzOZNsD//CJ4bE/927e3Ze0ye1OaGZ5TFkBLZdZ3v9h8YL4Ssot3R/CG5cZ
zvs7T7Yi53vHYJTsPin3Akw4Xf1/Wbt+dtN5iF2obdYCbkMe8v4aPojlEiMxae4c/KZgIYjaVwM9
d9Cv1r88yT+5lqfzMVCJkBpK/+nbawHqosmW2uUxXmrqTUJez7RxGxiRO/P6883/T/VjsGr+88gQ
rPszbaHux5bn8nN/tTzJ/dId3XIs90tM87uWp/hDoOwB1KdbwvhMsPqz5SnAXiEHshcXi44yZ+mh
/pntLPQ/dH1BEy+/Veff+L/T9fx2aWBgSeopKdGewb6KLImg6G+eyK6fVIP+T12STBPRnpmuK7l7
96X85FTAdsYvebeoAn9GXoS6FkEOSRl83m8vgvzXStNM1peW8lNmScKWGQQfyyyty1hHm4FU2Bmz
q7lKHO+CNoD70EaumV15uk0atF6M5onp1IEcq0ODSz8BduVYCQk4xrTqEb9OU34Z2hrhmNphkv5e
a6qbTifFcorRKTfu9ZjIfTg1CPtwqKMxN9a2aE60Gn6dlz3nU/akwYDp6/qQ5ukDVAEjmJOY1qTc
eGbOAZKkGWNs39re3dVEzKzzRiBBbARjRwjDtCDVvhnozfUu6mhv31gy4OM9RI5+0H0mVJZRn0AL
fM2lH68QO6/IDXkNCftCEQH/p9JxMzey3cKUPyMTUK29srXIXjCRxLj685IFZQnSzAxR3iI5PglN
864dmRXSY0HliKEqntSLdMTJJNpy26T1eRmPilQnF25oEtpBWLVIIQnkdQXynmiyzouIXm4nratc
QTSah/5BS63trFz2BxNokWd2b6gWaBYlZrVym+qyrMSpq1qxqYE30Jts0r2jk+ZRd4QgjSk8nqQ2
SfgdmAeJev5g0K6zuJ2rqteubUV8bWHmt6rwSXn0skf6B7Q4mCz5pHBe5J0ygljLTqRGboFuNMz8
vOgs6l5wQ23BIQVJocxAjI0M/Lz8EM6DCMLGK9dVRG3o9e26g6JFdtYLpnf8ORPVtCtePFkw3kqT
N6+gBRwJurNN5zNjdt5EogK9SV6ThsBnQ5JwYKJvQnAcVFFxOZjy2UhTPWiXSCQrKw/EqhRrMXTb
xCPmtbdSdM2ygwFGX4rYtf6y97W7IQK1peUdqPq43RgivonGrllXdISCMrQ2uSAOYYhc0NPcP99L
b0xrIZDQO0Qx/SHT6W0nk/OWkuNtG9lCFTAtxD0ZOABCQs6h9rRBlCZ1wLpyF03NTSlsVKMZ4Xm5
667jKlY8rPRxKd9J62jAQSi+D9eFgeyEt86go5xPy1dhKGc7tPpdFuV3MgFUMGpeAmMSKrWrvXWa
96h5E5QHUHCYtxCDj2Hlzxt3dipz01lw1GomrzmZAS3BVzXfhg/6srm1I0WeiUPcR+3n2V3GRnSw
5zG9dCx12zRIs+f6tUDmlGR1Duuj/mR0DWW8m0SbvvOSbaY6cjmT9IMQ3Tp3oOxJ5770N+NuIkD8
rEBBl2jaddunfrFSKfFz67BoaS+QfKG59BlaHw64zG17NfP8Rla9GyuYd9IuArfFwOSS3cu7uSAt
LrABPMSe/ZroI7tjTvtdkKVbkBwyxCSse+IJWxT66QReSP8YQXBf1pzrtjQ2iBivKxKGwY5dT5ML
pzS6NzPy7DwbObd+6itSe11EfQTrzrLbkp4eoOX51A+YIWI3XWdkIG4KZPoZ6khXtsigPHvb1sOF
u3QmG2LsrXlex4mtVpWPUC0llDTUtOPUtbgJ/GwTmvJVotAym/GDJl/tnidxcNytJVK3CMJS0YX2
Q5WUxFBNmrbRh8m9d6Nh3DVNawZphIvA9uquvsgs66GoBCCNGZnTUEY6LQ7WLXr3oga3Rab9jmF0
C/UbE4FnFfcZKUfIMR+Uyu9loz3qBXIovbfnSza8ZtvmzVNjGoe4tT6NoXdsiBD2cz9alwUtMZuw
xnXSDLjY0jzZFtS2t6LwpvOoiG+SKHpOTcClimnUaTtP7qYuOuSEpT4FoosfS5O7qOJbnNrQBSzt
pB/kQ29U842nEdMcUiHS0G/olyXsPYGfsQaAfHXWsq/pOZDtektfalpPE7C2qEUexlsuP4S+7Nei
c4s9b7O3bvKO+PaBsDOjU+R+tzR7QMbtVKnHlPO1jzgOlLKWJ/Ze5b6x8JIvofFcS0EKtGPs0kFA
5dZCtInkSM6OcVvb1UNrjDeR3ToHX/QPC0RuRR5MePHrbfe7SmbZdFEpIQRzPNRAwKO+3XQdQAmm
Zzb9ZeVB/DCOqXfr8FcT2g2N6cOvr/XtKYJjimngnDRomzM1xX27VAfvTueShOLOVFJdeuEmzO6b
iVCr+/+/Syx/wrtLqLzJc9Xn6rLmxUQkS9/5o6j/5Xz+088BM4O4V4cz1nLqen8RGWfZmAKWv7Ta
2wY/n4Z07/Drz/HjbeGreneJ7+q+DkRFZIhRXQrvpmi2c9HRFz6W7lM6/cuVvisAvtyUd1da/pJ3
3xgZ83bhgPO5RG+xMkoniM2TvjhXxOkUJzPWzl9/sOUP//aQhypOR+tm6ZblI/759nJdlJLsycDu
Mm8ejCW3hxD/+HQqHj5f5r9aY0mo++daY9V33euPhcbyQ38VGgZIcDiIlAzU+KbDDfpLW2Hyn9D1
k1bnUogssWRfCw39DyoQWjn+FxfBkiT4FSLj/0Hwr0tdQLlNT8//rcDiz8bLdw/Iok9cujguZSde
ByGWv+/98zjUo7TLKLaOchR6MBOuCNiV8ODU4qDrNFuoFFiMuukD4xBrLSPx0lrwVpC+rm2dbnFK
hBQQMrJpoXytSp0pWqq3K6Ys/XqUw8XYOnINSaUio6N/nvzyMeY8MRX5dSbSXTl1J6ZlXjc1FoS0
YQyLlVAy5TPPyiKzCd5y72TmkypJG2A/q/BurjCpRcvhtZqZxo/F0Y6sI2emjd9UJ27eIOSa8VcS
ThWQawkPNx53UTZvTK9+E3UMQCOyT4g63NVT++wl08qX8/0oi2qVmRCgLJMiyBFFubbqMNBH1IZu
Hd8ro/9IQpNAxhTvzb4qV2SNQwCPLVgayMEZU1oXWdGcIA1gvNS2b81Au37UKgTduXdMAMVAy2iO
qT3UJ2PRQQZJMCW4BdG+WdxGgc8U8kI6lY4WoOew2Yj5zYPgejEI92VO+HJpzsdXZjiRWSPbV4YE
/nla5Qfb19Aom/WECkJ6R4ksE9yY4q4xqF61EUhJsguY3Ua0s6ihnF2yoCcdMjoBDLjRlR5ZBhgG
EJVNlOR4PIjitxT7X7KgLPUpT/fWgrfUFtBluiAvCRteWQ4QTHvBYRYLGNMYJxCZCyyTYXyIng28
Rlt05q6ryCQroWsyhDydoW1mpXHoFvxmUnhvtLudFWcisdEWSOe04DoJDkbv+RnhucA8GwHW020b
f9ctqM+U4MSdv+A/iwgQqJ4YyTV8Dm/X12BCUfui4lnQoeASYSxYlnaVL2DRYuaTNgtsNAGyuPUW
AGk6KW81LVBSrSDJgJFrcoJORe0iM76dTHnZ93q5iTlur6qupuvA8SWJicudFvhp7UuL3EUArNO8
fEWJWX5U0k7vSoIcVhLj337qS/DTYwQLNCwBVZNBvYrrOWTi4fIdt1q/9xTHtlgJPDpun3zKFnau
nrohtUhByiPZxr2db8KwxARQODB7kPqsUGRRCArMfxqxcoTAFnngIFa6mo3xKh2J9VRFxlAjRWuS
m/lFhkxsT47rW1fOzyh04i0jKUA1fo7vzhitwFqELm3jwArCpuho7rCDwyOuTa2/T/yqIwaw60eY
k+aIBJdE1RfFX4WeAMFQjEpXenGzIy/olgB0YzvGkRPog39SFmQZKzUZQIv6AwjliboZExLspU1S
lhqyA32fWNbdgPsgkFF8WzTpiZuWl4paQNPcc2l/DF3ztK+c4QHXzqtyurNRaBq0XCNde6pXZ710
y73vM45P0E8y6tTPTK4W1/HpMIg3dK0msD7yHJVurAbfvZ89EDlJityxk8Un6cpoFRbFoUqnK9tf
UtCTAszJYC0n4mqXJQuRaYjtNQQgZtoJZo2Wf15Ksw5cadlbaowFHlEcey26ycfwo171j7VgefD0
eli7WXuaKONpzLDyyoyafJBVtDWAcRmJBa5JLBxfEkWAQxRYQIZz6akPPXK8tauJS390ARQUbnnw
bJt/2VEn9lmOEqSrTkFY73NvKAMIUdtUr5pj4ndkQuO6ROHrr6FZvEpqvpU9UIzFpvOYhX0Be6cc
z0uywCrhkvRsP+RhYR+SggC3dn7GW92u+mrc86HzbYyTe0VaNhWfexGnrDI+qXQmUcxIsgmkrgwa
O86ejtUCEYecmCzxy8UZOcBUBkn+3KHUckvrgmTTnSaaXUQUMPcUyobB/7afYi9JApn0bzJxOaao
jojS6dCRFryBhB6AMb8KKcbYC5bA1Ok07vKrgqR1I4lv8yzaxE6JMgbkT18ktznJzb3pgDAOJf7S
CeaJB+RikdbIkUGzSQMIRElfTiv2MW3aSc+UHratjILUKa/1hDbAf2ejL9JTTiX/fDa6zJ9eXtsf
D0fLnOOvw9HSNTWRT38Rl+rvD0f0Wj0OJBbYVZtB3N+HI8vHoeFYgmOtT7teXzybXw9HODMNg+Hg
0mDHfcm56Xfsl98Fx34+HGEp8BBWk0LBGfq7ycAw4bDshKvABAxMrbvsQzVM1241DBsq5mNhNOlL
lQwlnSHr1uqsNBgsLbxhtP+mxfoWeaxYzRbJsRF4Hb3Mkcm46GHILHxuIxTsY84igYzjWmAJ3ukY
PQjdDM+9gqcZo+ZzbyU3zjB/iJmBID3pYF7VIhiruNhnbn1i1bLgN8Y0Mv1yO+fmDddaq46lvVU9
Kac9K2/qIRAMZ+e8y/w7ppLIybLoUyq9c8G0XRfjMY7kvnJpKQyIhsxY17eCBDLq0eFyNGl4MLxy
Vq7JEaIg0z2MTDAKTWA1fXqAVZysVE0cAOT3rd8t9hNUYZt+qq2NlYU7J/ucplv4+7AWtwTZr4bJ
hy9lbfpa4uRq7YQG4nSYjVQEXcl2z1jx3vY/gYrDt4YdTBYn7tA99PqcBHXKSywsMBT9FKIsHEg+
tsfpddBJ7DDcrWtRgvp6fB8Z5EsvSCXyFegctUwmk3mfmu5RJe6FKyIYb+19pdnPCG9PgRajbIHA
YBFZIY1DH2ZX5oRIMrKda49vKCS9YaVV7Vbl+UUr/Gsn0Z+zEUvCqPvGytaBCfiuuitM8Zgy2jVr
F7vnUIpt3RtyxRJ+alDpA3wFeTPrOFTYM1WZns5WeFeP7QXayNOoxYwh8/wVIM7HcdBuawvxXDxe
d76z1R3todfSF9BY9sq2pyFo68hdzYu8i8D1NzyTN3qvJZyW/HNu05lKXWQbmEXFG7I0GlJ8HNXP
W9jHcg1s4KZCv+ykXrXSI9qzKSnTbVl9tErn0SrkFJTT+CR6xfNlIMukKY14rKvOjCGHRzd/8FuL
niu0aSN3Tnpn2ldO92nQ6MKZsXVLqukuShLCS8PmkpBR3CqoT9dUNXCNNHzKWkw+22R5dJT97D7t
+JLmEuKcHUuixwvzunPqjV8X8KOK1t/IrqxPwkhFFxy9Oaw/csyHgGw9EnKKbLfR93GE6mnuxB04
2vhqUq1/CDOabJUrR9z1SNr0XomgbwzSqvoYIZZWv6GQ7nwEY00HfjcO02nTFVkz3w02EEG2zNEj
ojoKM3FDh5gxAlKc+0Sk1UYY/Y1O0DfWQIEvSJAroJA9e2m6dkt/N9UKTyQdh3Wn2vwEMYu7KfBW
0VOwHqvBTjfzzOuWxzzSpcKKHQOdSqj3Ai0p1pHnjzdeDXsO089xjOdP5sI2bCJvDU5vq3NSJG6E
CcqIPrwEGbbOvAihinsxCrFCOR7M5Fckdrmlf0qihoc4tSPO1aOgQ3iWj9VlnvTbeuAEPGsS0S/a
am3oTkRcRhd5Nt5lwrnh2zV2HHMvZNpejk1/52egZEi+DqJQPTPSuMd/+VDoLsOOkFzIBV7XAIxc
hLD3dswspZrxuKH3u1Dh4K9Khfcji/MzXc07/l/2fzRTq6azH9Er1Suz0Tatlb1Nc3NXp+593STn
eSueWwk7RS/co9P5J05PGSSaGMxygwd66iIt0EPjWR/Ta9Ltz7h5DWitGRxL5t4VA1yWObe6gHBl
WGIokQjREGvfxgaTZjT/O16miVfPnfmcMZZZZIuc8LvrtGcVMI0T0kxOw747y2y6+5TxiPqVw6ho
KHyIh0W+6l0vXQuOR3TYuldtAR9WfoMzrPdx5db6RRn6BKDm/bQ30coRbfKkTcVZnM132mSZTASm
F41k4JupHsegVYibpWAgM/lLpHrzQlGN9gxEGXiv8o4Bx2lc1y/J7HZBZOrF7VhiFyzNO9fs6SvX
3I3cDbeA5vS1F3osG+rgFnW4Dp2eUQC7Q929+KYSMG9ynjVkqcpGth2Bg2x1Y0Iqlkclgk1UdTLs
pP/RLGTnfklk/69bZDJD/ecT0Xn1qXr5yYGIH/p6IAI5zNjX9D0OPSTVLzPZv7pFHIhsF3SCyZkI
Nybd3K/dIjw6PhIMBAzMnd97cRhY45uhw0Tqou5BMDZ+5zwkvp0YcxwCqwVjD9EKtlr6VbS53veK
mqoRrCZpfMnWD9moyRQbju0eDYIIsBtEWqjNm6yuFOdvGvq6v+ZIL0J4UCQrbD0d98GNcozIf1Oe
3LdaaYVPOPVS8q1VmWunfGgZnhgUGcYmmjWNMU1Wgj9kU4vrATOsOSJfnO05p6yVPlYVFNjuUlBN
jsO5v7N8SnUUsS7vd5s08Z42CDPiPLWZFI5ua2MXaIFLloy5Vk6j8vYYibwnMMualLuJPL3C148C
U5+7Xnu1KaZ2/xUDn4sBna78Pz/6AQ2G9ul/gkp2Tz++AcvPfn0DTPzcyC5oVi8gFbQP794A/Nwo
M5BYoDT8fLj/+gZY3h/oqJBQ2abpYvheqoWvJYFLSUBlDA3E/pzW8lslAdFz3zTUl5IAPxwCR5qm
i+Lx8zvyrn/vF+4M3MAejvkA2yIM2qbST8hFE0T9VMy0kKHfTSlnZHfUzrwSum1qE7KlUmS9pQbi
qEtvx6g7zbzxZtDHsykkvKSOHXy4yiM7KJlP/KS7V6TAuoV1gIuIKTmsVo0ngcWPJ07NyH0smkMy
5xzI6UipkOSF0PXHHczENwA0sIskMlY9yeDjJEhe20VCPXtQPdIUZHFOQe/L+HFy8BLLXEwbegbF
Wm/rW+GQTCF6UEc2GnGLdzgARMQgDLxtW4YfmKbhxXJIWlkYmol6diBPpyFsD9twX0hTIK3OSR6c
ZpQrx3UOFkP7HtsAh2fzwYnEznPrebGAcTZpeSclpAyHWCZs23s5FgXEoaFd0Z98nqrwuejGo17h
LmN494ioOgkKke2YBh1opCH8H1W7bgeaEF5Uf4p0jmGjUT7UmMMZIdO/Yed+dUJzvpDwi5PahnBg
J2A1bBPJSeRstNIzrk36uGtRhRh1kJwSYTHip1HZqWE3w6PnDwg++qplW2eQPgs3WWTe1TafLAax
MH42XhzrePRnYrmhnp1j3xvXWTGw3hGusg5z1IMdT/OqlVlMC7VqN5MO6qvUZXKa6BVx1b7qbkx7
mO8J1okxNy7IPJnr58SOuAg/suyxaonAoPHkPGD2K65lazSXMUr5g2e041nj42ccprxCjtO09ASF
SM9CVdbhRqtGfERUhoRS6eHziBfQWytbaw6lqV9llW9sYmzDd/rEF78LPdP5CKg8ehNeDhcYbdIK
nmG/yTwvmAjbWsm0XsKPsVXIlqhNaZ5308y3rvCyR2eybB51Kf1Aa/qLNi7VPgy7ceuCPWCFrfyt
ayOnEGN9ITqz2zYF4Vdu220abEZhSG83yxPsvxaDBmfwwdgLWMSVgfrBBT26rXqEARszucGIUdM7
c7LzivzIU1rFw71feN6B3L1+FWt6uNO8csY90b6NZqjtizpdLyCqLwrO/84xi+Dsnxfz8ycUST+u
4ssP/bWKm39w7OC84nms1+byn/46x1h/6KbFk0QvFdHoMgH/8xzDKk7zjbOK8CieYHuy9v+9ii9i
OHo+lu0s6KjfOshgbv5hFWf5ZvWm98RfwS/89iTjkbXlOJo+H+FV3jcWqTs5SlyU/6BgjJm0n8bZ
GeQW2RNG1NG/R14QUUGiYSl85zb1xLlVdYciTTdIJUK5dt0CIUyyvEqgoI1NxdsVaURRdSqJfLKm
Uu3ZBGnH021gaTgFn0KKh734zZwcciQMw2RT9Gl/pZeY+KFw3agM85s3TEffzhkklda6jol/bMbq
dpq0e7QRdxaAvJVukkWut+rgaNMxTrwTA23ZFMuXFvGqnRG+GRHBV6fmJf2Qe3OQtJY6a0FNZOdD
3SKOC8u3qSVSKAZFQ/BOtDZbUJS2OR4Bij41eTqu7cHq11MVfwJ9N687Hfqgjz0j0jvs0hVhVZnr
uCRuaGI6qLECaq6iU6MHysw20htQwEkDJQDCDYYiRopmDqftUH+Idf9RE2ANvZzEHppHnY1+JZln
MqLmO7JTtkNv1DgH1aaoqzdTN9YQP6/9vh5WJBKf1VFB5N5EWGZ/qlXDm97aE3kFE4QgEs3ZTCnn
NA0/ipVnpGJqiLNiJyBT1FyHpt5jeYm9oznVUzBPTRYMHQCvmHSyzqdzUmHnWBX6pG1gJM1BCesk
wF3xAjXypLSMadct/iM5GkHpmQdosPu+b49hTpKFpSfTedy0DYYLx+mLXWcjUoMoXByINgiktM+7
kchQqzJhb5cDM7PwOUOLgpdHY/8d12k5PuEvIcABbX2VsxhW9N9UPNAssLQnvUUWCo3HorFioZHz
X6cs886RrMKp1GW/NfvYOcuVRdFXtjfgWcWF2eHwNQhKwcnmp+sZn2g8YDCSDoT7fHDXXlEYu3Jx
Lec8/8RXejsGEAfiH+6J8dnrvXmvhs4Ioljq606axoVVm+lZXSL8inyHrcRGvxAOKdOZkXYe0shw
N6GAv6hHy7xCrujuk2zY+QKekYpOCpD0mJDMJ4+CZ01gU3J08YMGdH23k1ds+07idJ5o3tuqfJ4k
bpsheagibcW5PNtEMfczzaf8yFibiVrx5aj+/5paT6qQYLWxEdAQcoAW97vJeG3R880JlDzmBR2R
TzYRssXh3bp5+UWH8QtrznIJKjd62fRJMZ18Pmy+O0xOdTTKNIHgmMnnPruc6tvyT0fIf3uUwcn8
n/eoQzn9JDhq+ZmvW5RhEztNMYvq4SsT+usWZTBG8BlMWKgivkgs/tqiXBTgwjdZzSxKFAYUf29R
S+4FWuo/gyQJvvidWhsf4XdbFEnYbIXLTslfYaH1+HaLssA2gVp1OygQTrytqhyfbFWgk72azGEe
0Fr6MW39jYgHPYbiMGRqYxudyeZjkb4E2GlKrPy08ZJmOjIlxv9A7IGyW4iqo9Mw07Pz2NoZLspV
YyVEnsgrItpwwK+10K/Kj3Pr9OLS7Xu/Ldcuk0zCz2xbSeKcYJrJJ3fuWlbqzgldqQfj2A4E7zBb
bneprH2WPx2vKPIPsliVuGtIsMlg662avkLYIbIU2XSjhlMi9qat6SXApfKsvzacTD3rpW3XB1im
0fMg2nGb43o847xXIdOtwotUY4UYtDTeU58V2cpT1nSFA5usxr5S51npKsIthg7+c/1W0WtYkv3M
9olBIyjWTph9EIe2eYjttLs1VVMEfIP2izfn/m6Ic4W6mZFwNSe7XBNY/mYd+6YV0Ujo9VFgOmQK
YXeddsBtN120+sK06FO5FbWBxY6JhUHKr2E9c5u6fQO2HohuTeVE+9v8aM31fBnPc1oiOOnN5wz9
K/5iEhOmLJUPli0JJ2G+dVmCMFrPXtEf+z574SstDw2r7I0hEz3Ha6gzwVGJTwOmii/gXUbraLKT
C5u48Z3PZH+Tzr53MQP7gzVdoracCjASVjS9EBqen9kqlPd9UfVb6aeYcrXEJAjXyOeVE5PuNPls
58bYOFeInbUtWmx5aSVWve4A3pzi2BlOpcxOwoncgMnTvG1jT+ObEnG+9+oiOhkrQn/IIHG18yTE
jV8kMkcDNOXI8rveIaHRK3d1xBBcKJ6i0W5pcs+mH57krebcI9n+UOmxeWZqXn3kzw+3GrHB57Iy
l0DfVj9Oczzi5lbpIUqgDVZalyIlrqfruCUgY5Cq2UxJPxJqNodb2UgZrT8vKP+trMsY9p9X1vVr
/j8XFLyvP1YAyw9+XV5N6w9Kfl93FmGlwyj3XQUgkLAxoEWl4mMgX1ooXzuZKOJ4bm2dHXeZ7y5N
zj8rAFqZLMdsxEjorKWm+K3ldTnf/y2LXAw2uNUWEyaVhiW+eGPebbzQGVOZzyUvGTIHPUvO3IiU
geHfgMBfWqJ/X+izBpcdhiGg5QOk/QHVqwH5RvWTqUsOGtmhi3RPbOy553UAK16ZhNNrykXL0FVH
GCNnTVbTyocMWxOAGqgi7TZZa2Rw7m1/TQWtB9bEyEuzcdGEqn1Qsibmz4tbToXI1WKZ39RcMCBt
+5LJQQkMm9AiryEn29MGOjoorZBCeacN5QeuH9JKDTkzEXGQeGXlNnSGLTVTt+6xDKxlNqLXER80
zyUJoPdXfMwHQhkqaiL7xjKta60YLzQNh3uiMzpQyD8czz+0/sDQp4joIBh3YeQRhs9gZW3GNGz7
obuytXmrRP/B99pXM3I/RsX02M5kb2c9JNp8ArbZhqeOWyRbcHN7xw+JRAOOG1htewfhc594THDz
OD5FHvlM9lK2HQq9pmkw0Riuxnqt9YvmSlQ0ibr5o1EUS+8mPQqPtgw4Wiha1rpxso+9a9y1Mjon
KK9fVQaz/abf0UvcRw7HzI5uC3+oRZxFVyL9M+0bbaoBGHTQvl3/o98VG90a131Dj0r2gp0I0Q4w
GzipkjQSt3/zJoDhumOfa0NvE32DrhBXVWC404Wp+mCcpOBUb2CuMPLLJo/TrWWp3cxKR4BARJqS
2PkD322sMhzVjj2QFuV/pAG5R4F5XZXztLZmeU+8yRxE0kca1uU3UvUHw86GdWvpL6CeQC2r6T5P
Ens3WvPRJMkQfVo6rNq5/WTk5ieTlPkgG409lcaBeGsjyJTaIcC8KjJvPbqVc+ZaM7PrvHyZ0/oh
doHlFk516wyQrkXjZnvVk3vC1Nu0wi36Kr/d8Iix7woVb4wxbp5KsmNIiPM00mdsZ2xXhj4SvrOa
zBb9gVAEC+iu2hqeWsRULWt7bhPnOhnLhO/QCuuT0v0DoTLbYa5aUmizerjPbGuRfClDB8jMBHXd
j0ZCEpJ5sEgQMFBPdjpqU695Cp3k2si0V9T5FNFw2SueRkR+A91Y2QWjr9aVyoyDVtjIFdVw5rV5
tV4MC3aSoa+SQ4KALVKPTurKzRjV51Gih7iCR1zizSoWZBmk2Xro5F6pbuGkpxiHEISk+mXaVueZ
wytrldklOdanuaYd5hx1ZhzFMYPcCR0t+RKOIhM+Vam1GnvjOu4c/DHdazZHKhh7iiqnflDthozt
Qyza06zT9mR+PY2p/nG2pyxw80liKv2YE0aoJOLD/qQG5ZGTHUERGJgkKaItFUR4ge1VltgPOJha
I0boOdfDzgJuttUN5K/RIADOE7U5Vmodam27Eqre9UZ5nCr12FYpMshJ3HcdR5BaS0VzuzRHIw9B
yb767D16t8H8pEwyvz0LL6so24XgRLzEyenG935IKaUliMmYLtUUuCuxC0/Gm+r8kJJQ9FR+qDfZ
AanZKjylHuzX6e7feJJLpfftIv6/7J3ZbtxY1qVfpVD3NMjDGejqiwjGJIVCoXm4IWRZ4jzPfPr+
jlx2SSqnsxP4G+iLLGQBaSglWgzynLP3XutbXF7WaYzdhInw7uNRvPY7s1esbj729lPp71xi+Nzx
USmyxe9/z19dhx4GonDOT4b6mT7gtuxZ0djPRy3ah3TQ0YK4wY4R1p9c5+Pu9/12cj/ZA1FP2Vid
Pv4+VWWAdNVClYjg09rCVI+b7c/MJ8avPrP3v8yni3ToiBqRyJu2bm4hwa36rfrN8ZB8FGec2YPF
Zb1CQL0W25sDAMvFoT+L1rfNyl9dxCfDYktrf996/Ideseb/q9vf32sh66fPH6pBu9GmtmLSan76
+6UdGox8UrUjKvMDQqiVeqbdBSf0H2BredPi5EHbjMtDtR625HFnpyQuXyC/XQ+Lf4dZ/X2QlA/w
Hx8kV+k/vKImouEXB0m+8cdBkpG4nDmrYCbZOT8OBBlv8xEy8xYWCQnS3PKjlex+4QxpcPKE5MEx
Uube/WglOwCjYTwQ9oATn9fsL0VHGeLjy8RA0OHnsDKpyAPpJWifnqMq8EdT0XoiGogSGiSjvQfW
rnD0XdhxUx+VWZLc2SzvTaNsaW4hSGttdGpOhoGhUfocVQjGh2RmjYZueZcA4/fq2GF4R/98PSM7
XGfRzKS9xtPQGl2xqny3R6nWDPsYCH0nafRM2kKGg/aNi4OTXSUHy0v4gA3EngUhQLpj79povPOl
fqWPy6u6CIF5KZG71dTgGUzN9airpwjhD9RdEo0EN5/KVltPJlqlEqh+CqZskpT9Atx+PKUPfitO
EGo1p+GAHgrS1xr7Lg7cAQ8n7oCvFoPHbStJ/vVoTmu3GF+swnqxHdqP6OM7ryEAwB31e0gY+Qlo
vmKhExIg+vCCLiySvrh8dvPsPAGnhiLRXioheJbbMSZBm6Vnk2h+sTFL6wm58zookAWDE0MfkL1Y
qbYaaT1rRVpu0NN9s+vhciBUfMsUERVmbwarhLrTiyPFWnXKeG6HYC6jQNxGvnPW6z6xGEIr0Pej
kIMqh0khTzZpP1Dzt48U+DQy9LbZdIxl59kYTh11unVS+izHsWEUVoJuQszNluju6VO+zlJzBqQ0
XjVxZyyLEcm4MafjJosihFMRAI1SKtf0RNwgbEY7JFVtwgkXc5DoD7NqL8CruG533VlpcGilIG5+
08bhzd6WZrEa6PJrgLU5ZDjEeUScBRI1uo0Gs0Sjj9xOp0L29ACeYGmBmTYLuKeKUhyD2GcKgWJP
WOq1rTCOHmJyMDoKI7R9RpdzixkP+/F4V5rRN5u+u68QZA8FDYJ4TeifrXRPhhQNxob+AFLukeM1
XSZ0hZNrkB+M0lCowRVIg8Yb0SAqUoxYzc4atps3IlTMESzSRjrTOgQlDlLGbM5fValt7DvHWlhS
71gmgbmg6fOsIYU0BbJ7pJFp2O4npJImksmW7ZIigZRuFF0VokoVceWIyHIaEGpVvrgNMvSXYe1f
+wgy25g7VIrAWOsl59YE2WaOfNNHxokLEZZlABNrhGqMAVr92iD6HGrijct6LXyZYmL3MgbqUpc6
0cyPLmqEo5ZDpKrjnATQyztrOC0RmAZTeyvLlSA3sfKYjGjmrY4gtVRhkyXNdG92jrOBTZstkgh9
Ossc7fRKYUY/4Tfwx56ZelTf1whhdbc/S3QaV2hkOymW7UHZLit92JVSSMsDi0tISS+x0nwtdUS3
tpTfzpazEW2Mx11Kc30p0kW5kCFUAyArBbwx6NtdbpfLsSFhQgp95YrLKkUuVoIKuOioQETVqusO
hXCgkq2hqdVW5RawJl3ok3UWd+4zrXSeLdu6ERbzMdCmS10KkPupZKotl7g6nPGxq1cCtXIqZctC
CpgbfFuuZqbbrGeUIUXOgZQ7Wzxv3Rxcaarx1ZaC6EA4Z/jx/U0QKMqa+v2SSVeNZwkh9STsrwKu
3QrSvLMwEI9OUnadRcJAAD2tE+wFINf9q7iCrxXV2nUuZdudZkfPZagcLCnpLhrWiCi6Y8pyXkNF
A2v4SiocaM3ch9VWqvioKoZAUWMq7oK6ObvLMKgFZLMFMBqtXgpDzVPTqa9dGRlRy/CIeS4e6SS6
wBl6HVnifI8aEh9m30AeVqrl3NVHI0oPIakUOukUIykVmoyr0PP6JJ3FKkGhhP/evCCd4oy2GMIK
GXYRk3rhQH5TwXjg9CIQg4Ye/LO5u9bJyoh8VClkZ9AFxdhmOdKzMt+7Ml+jmm4zEwzkEB95HrgJ
Y3eTkcgxmwgZWukA61UCAWxiO0jKusrJ8dCs5gSN5amhjje5QG1imEeL3I/SRavo8C+jjASBjk5Z
ZhIT4lrM8aOY6JBcFS1aW8sbonKbky5Sy5gRm7yRILbgxMkIElOGkZBIQixJGe9mGVSiJMMuf4su
kSEmuATFDm9P5Lky4qTQCTtJ1BrlOXa2RTDSJpCRKG+Hkb9PZSonlD8+la0xBOW/OpLxXT+PZAzq
LQ4+9ON0m3E9p7UfoxNyPkF1o1HEqv0dg/PzSGZ/QZ4IY1x7a9+9ndZ+HMnMLzQKcaijb8S0LpuF
f8G2YdtMdd4d7TmSuVJdAKnHhniHbBqJwXudYsJAwx1b3z74Y3MStFWfn7WDmKxlnPVlWXh51KFB
HsA3wzcOCOZ0Q4TRhZtjGWvj8GHUm6ssrCYvJPJ2SUbfBnWLRx1OZ0LNBZKUFHG2G38F9QESPDej
1aQA4shn84Crt6VPojwUQ3aJh/Vu6AotuWgxkV7hL9y6w0jWlo+ViTc5UCPlkPi5A/S5r/BLKsHD
VLbh0ffDyDqG6WQfzZz5xdIYAMctrC6F72z6mZpfW7YCN4x1algxg/bb80ppwui2YyPGnZIMd4mA
OU4Pr9hGYRyjP1brsyE2TobOvDQDY8KEld+qc3rdGdjQirB8ZgqT0f3vEF6hTK/bmPVM/xrmMfN4
xThYnbizxvEWqLi51DkQKr3iKRlLQBDR5TLKUvMcyJmgDm1DIlbuhK879ImSRxGYV2QZnsdxaXqT
En0Trn1NMOGLaiB8aDJuium0F7Yucw9GUjdQi2MyC8rkcZKDF8L4tupMj6aSrbYsda6rVBPrIk8Q
behwYMZYbEOmNnnf1142RABuGKebWWjjFEQO2qhJvoK4nbJwTBhnxIUvFdOzDocrN8S2SGg0QX5l
+jyNYjf1Gk3CTv2mFq7ndA1MO9/0iRohCjR3n4KwOGWyeNroLsJ9BzsiMR5Xto8rzw2b9egr39CY
r1N13JV+eQhqBO4Ykr2ynq1tlkv5FJOptqAzY0VgeTslex5ClwCLKb/nkW4Xwu1tplsc/Xm8Lgws
Cgj5i0NLKivnRv+YurRRA5KfglC79EvoqB076kIda3OJxRjMOJtuCNWiA9ixKIL2pOUTbFEGmFUY
bUbTYM6jVsVqzo1dhspkrMw7rWkPbhtdx22RLCO1uc2C8DI0wsgr1W6jBZayY9HWF8z4Lifbv8ZR
eTFX0FMGDanbpA14bqIIMGjtHzt/3k6pz4xsVJ7rSgk91SiTzWSySc2amy6HDrlfYDZIAlUDgtI0
nxRQt2M5DiwcyD9ll+vLrE9l9s2wJ/DjW5pGJxF4Pg+i7BkREigFVft0KhgiqS6DpSmoEAkbGFO0
+AnN/MAUqz13a+O+x4615FXH1TRlMBc6/ZV4kXmBWPmym8nW6OztzJ0BxzPCf88LPKpJfyOGOd8q
Bk+nL490TRq9pJOY2Rzte3MwrwQ9zF1fABtJa7GjTNQ93XH2YY8j2zJoEquZYayHKj6PAsuzlOQy
S/tDEPJsD6FNDl+ckHPiHsGXVmsrpZ4YsIjg2xmnRZVb11hTerQ96qsvjEdVT58RLOyqQWefD1rq
CUW8GI1y28Rw3rMsu82GVqyE211NU6ttIit7KCbjFBruBATWQRRknNgw7QnzdEqbXGKwLVNYfdUH
5CXCBCYsY+46szqzlLElSpjqqp+/1rp4qIAYbl2VHJXStY9z18NebUMHFiyOakjA+cINp2eSspqd
ardXYd5iuSzVFANPAQ3MBn2KV/6xtIyrNmud5RBCWdY6f/DqjhZyXJY5wWnqoe+I16Kr+9LP+MRy
k5NlLHqv99GOJEkORUcBCu12lYs0h4oN4zT+Cd5krTH0rQqV+RCNJmjnphoZeYjQ00V1OeQcYCbH
blfaTAJwRFSMDtCoDWDNRGYMcCYOS/BKw27K/McsHwlZh4i+Eja+r1HnaS3r+NlCbI4JH8Sxmfvr
wNCnrZWTLVqUxjoJReSFMCrXDiTBBevhvMnj6rEGHJTDNgoGf1NwZGfEHlmQr5nbTs2gLhghuOtR
yQtZ5PgXVi7KtV0RFBPoe9S0wbrNYmdDnUx+IRCHpd9P00nYdd8SYvvWYdnqJ6LEd2iWMzLNMci3
YZ7PN/OQ8dkMk7I2HSYhCof7RSAyVsS23+mZT/ddc2YErP1pkLonvjufKtGcSZ5uvfaT+aLOfA/K
Atwe29rPDZVe2M1yejMdyy68zgWDB1BB6brUOYd1oVIvY719tiq0zhnjwM3oMMCaNMTIxNURE52G
xzZi3ubPqpfgmdyU5Xyqt/6ewEMP386xRyC70uNKlfk86Hns+uCa8bOTZ1/TxqchYbuUqZYC5ZpY
nUJ3phWSUdrOsKQWqjrcal3yVCTKMa2jKxjGuIbosgLZ1axFbZQv6Wy/BpnK9BiXgVdHBj8Sy743
pOpDGVF99V108F2yP2AI9N5QEQBS+Mlp7mTqNh7j4LYKUy8a/AeLYmoheHXtNHuFcfBg6grOtfZQ
vk1D2uwZcYG70lxGE26W3gKXYdYXMesQinIxq6XqKWl0hi2PXAxiYVPE1EuDPdXECbREFv+C8Wxr
d/7eYby+QUt2Aj7A9apEWYCOvMum+jDmAgfDlGUo5Ujz8OsTjIunCMy+KaXzOoyUjxYdlLxStn4T
vzD8W6ONaDeNXa6akq8OhXJLfsZ+Dk6zmFqls3dlkzy5Xfw1bFh8e7TqcW3voFTIp8YJ0InVJ3ND
yICd8PFkVOoxrZ9x5nmOgDCthTBedJVQPsagV1Ec8B+zgPeEQEW1VJioBf0YXrsNJ7dHTmC7aCzW
FScdZlbWyWwW2bIjVsyqHMKkhjtN54eXY4G+HVAzXauNnrXPRkBype3nyzKrDqqdHeUhBkklesQ8
2EDIRkLu6AcmSzf1MFCONiokqLI6lpG7n6jcPd2qLjulhrwWm/AEAeVidaculexxDb8j1YWzQGUd
rOFz0PuZGfDpNS2JvuJXc5AahJw7USxG6MdxcOVGvbP18GSY4tdQM6N1MDjnkxZvinnT4OISzqae
ck8b946SXIdpz8jXMJCcOOYmjtHxTEQHFPr8VXcGzHPBV8ci6UIg+1N8NeTDqp5IvgRBIIbYZCPu
61NeH7ICaKtRv91qpb0YCQJxmnrlbPUg3QqgIH2beL6jlxe5VWfkT+aRNawiw9SUu7AvCvQ6iNXr
E2Z+A4Hu0SDT3Yu3pPeJTydXzUjxDBkEH8wyE95xk5NioAswysB4as7N7BIvUaMMUey49HIZLx8Z
hWdkSef5fXGP7X5e5U5fUf8H2ooIvBu9zq9Imx7XTHNeKxLsjQhNUsbBS/ERHWLL24W28VTm43GU
YSqhjFUJIwJWOHc1yyQhdMUcek2Gwo9sJzDhEpWNrZExLb2Qnx1n886dUCOG+6rWjEVKtsvY2oee
rBeXzBfp6ljkpMBo7uQ1rrHXZDxMWZRf2VtAwZAck5Ag08goGYQuL7MMl5llzMzUO1uj746VDKBx
w3kzUkosONcMnuXn3+oh2+oytgYiyrwmgH1vVOmlSPpV3sI3JNln2LLu7l3Sb+wJrlkOaGQLcY6E
TcEF38JyZGxOQ34OnkdrAZBlU8poHVdLHpOKDIzwPClxW5jTYhhxhtTgR1ynPxAqV9GibM8zM/4G
1IaRiTYtB0J9ikA9mO60JvLrYAgclNlCmSuvlkFAWKbvElKPWhKCWru9Kd2CMSHZQU69GS37iqno
knPvYSJhKMLg7crIIZ3sIahv8y4mjYi/4E0oS3ubs+AqlJFFrAqPhgwxymZUpgW5RqMMOGreoo6y
GcoV4UcQ2O7LXmVumVzg+3pKZExS37Q8Ce5DSn5SJHOUZKDS3wU9J0pEpNS3f1zQb9KX/BdqfflN
P+p5oX1B744Sx0ZhL6Fx7+p58cUFpsg/CGYEM5j3IxYOtAYhmf+esfxHqyMJDZgY+ZpwmTD+ZSkk
P+ljPS+NBKolpZAoLuWP+1DP51MDfaBz3HOR1cBNTG0u8ToVQX6hK3koVmaYNf4jPcv6Aq8UMY1Z
D1lx7t29Fbv7OncTtovka0KjceKw0Is2WE+GQWep1AkcWZJgsctHvVp1vXtBmfoKDiVa2jV5xZ3Y
KLBKgiaiVqk2KgwTJ2d/KZWtEqVfzRp4jh0X+yAeLhKJP7Ha2qPe29qqIJ8Kh7MOKQWEDqJl2Clo
kg6CE1CE+pwSALxKp07bSQJXckX7GkNgGYkT3tWOfV/CZpnr4Zn18Mxx6xQTP7/bg5SmtxLpQtP/
pZ4c8h9itmqJfUkkAAbf5BpJAFElvbatYMSgYu5pYoCNSXSlhtgISkbVAVJ0+NG8ppjv6BicORI+
M0gMTS2BNIKWQGiAe9K7YF1LaA35j/YqhmPjwLNhRgUeWCJuNFg3GcwbrGWc+ovzUcJwlMw315kE
5AAE24FcgMoQIZrUUFd46iDpixKtU0qTFrVvtsSsgXxiusjMBBN2BSVJxN+mrHcWqoT11IXPcAVF
AurFp1x0hDlr2msrlBMN0g8WpT12T1BEEgLUv+GAJBiokIigScKCRqhBM/SgTMmHez7P09Z8nDPr
zEAPSs4Y1Jn4hIjmq0FiiMjJiRsPEUIV7mGbd2xjURKA003TIrQw8CVudRgD096ljWOw4vfhJnIc
JClkqrpnwlbCEzspyKNj7dtxX0p1ZZBosQl9x73yAfC4uE20kRFIQTugJ8VqQ/veSD1CPIMNWZEA
aO28Fns7Tbs7p7Ac0KyJev/3cvi2HMp23x8vh1dP+T/OntqXX7Q45Tf+XBJRIuI4AkzDFFnF7/5h
STQFFmicoDoLk4q36MfUGa8pNmtk4ObP7uePFqeNQ1XqOjChuoi9cRP8hRbnfy2IjEhZCwUrsiro
maKgfN/gbLqhqzJQXbgjj3VgrCZmaO9uyvG7DuK9M4Hf792Sy0QYNLqN0sWUnnMMF2wJ769gDSSg
dmi/zxsjxnl4q6j4kC4aNFX+cegPjbb6/fXepJ2/vaL8G72TZMqkrIiCsiOmBK2TMwWtLJGRE9G9
KpqLoS6ck741y4OVUDc11tqKp4pJ+OibYDta1qYgtx5HlKc7C/enDDWlrdRQj+hOuDeL9BabDhtB
rcIpSV7dUbknV+1YAHVf2AXgkjioJfYEdaAuQmdVp9SEWRAFxMNZm2aChmvS3l4HZVRs/GkE+QfB
YmHXnU6RAPLQx5moDA59q+jS6ftT3P3wuaN+r1Q+n1KMmchntAfgyjMmfUH+3oVPmiRdHH1bFNqx
B2tBvvQuV7uIcPngFCMZtknlplY0cnryx37Wj6Mdbnt7blYazaKoNTZG6ZzQjx0XjMYHYqHqZuOH
01mBB/7KBhFI1LA5NflVUYXW1qpQSMHh2zKmV9qLGWB4ueyyeizO08DYt6iFDnk2wwVs2pnMKr36
mqjO3rKGM9oh+9KOdmMynNWuT+Zbcphm605LXRT+CgMxV0dNJqJnyAbfUqUwV4NpnI2lARUde2pS
7ltsXOB2dpMeHVUIQrlfedE47YcJk6oDKLrFpEq073Da9Opd1YkVe3QAj3C+MVOIhX42JYeoy495
0jJ4Hw7JnJyoRUL9U6I4SPCLYY9jotX0CZgQ4hVojN0QG8fBllTatcjKbtd1Q7tJ4TNfSGPEPp0K
c9044pTK2VWGcyN0LpuOtDEtpPEYhvVaI2nLT6Mju+XV0ANVwRK0KMAhOvRw7Kz9ZtMZWWhWfCFI
A3O7DAfqiNZfWJ7BjgZalm4v9AJrMDZD3a9VgAithQZBU72iKK5owB4zv6qWwwjTsE2T/nKcwktL
ih5BvTilcw8FYTnaZn1dqoq+JF/5NYfPlJHHReeOCSMoJBxGZI71Lyq+u5yMPaCJNIVsl1xGMkx1
sPyWAn/cD45h1J8ZZrytzGwzquYqtfMlaD/U/MW2ltXU3HpmoxxI/PHEoHBUsC4mTOUkg6rNAh3e
unL1W6NuAFIRMVNJh2FuptM2AQm4q9Oc2ClKQ31STpJmvibIO0SU2B6iuriKe9Wj5uWx9mOXBEMh
+w1PpE+eFdgMaeKTDTU0nPH8ZsiWpk/N9bbM/D3U09ES/n7TW9dP+XPUPP9q4+Ob3218aKwIKVJN
W4qq3m98utzDyAzlJG59lFvZX1wmNujc//Nd/9n4LHxMpqP+D218aKzYXk35Q6V268MmYaa4B2K/
ns/n9q5yfJDv7fcq8Q9df/InfJAF8lNVBpt4g13BJeTW+24bmksfcUypa/BwlUWtrjFuLhrzG7Tx
dx/ALzbYj1u43GA/XkfKyt5dp1C0krhvUzs3Jdmk3g/2t99fQHwUpv33FaQA8t0VAq3ipBzym4jR
XvTGje2+FsAIXIVOSE/wprps+oey23bRsS38hRa9xCGxdUdRXLT5VTCUi7Y6tRBKQQIl2Omii68G
eO2jm/3JrZAuvN/e80+HDT1SfEBZ8l7oK5/ueVXedaheCs04HyB3+X6C3vjVZqhS8a/0x5a/v1Vv
gtfPHzoNb3lqgxLBKe3jrcqBf7e9ak/nCLQibalRbe0T8oja5fS2ReKUyAmHRdlTI8s1u+FSgwMF
wY2WZq8qM0gJZkeiRCfDUEE9Gdy2qzdpdi8y/QRZBp0aocTazahnqJMTN6bF6bSLHP94bdW7siMf
uK/wKkwIyCFszudQNFZZAESrUlASzZt6dI+ZOILLXfskibLiB811Ezhn6P2p2Oh/AfcVdHxxtC7t
mVkYXbnEvC5KHO0WQN+5YlpGq60jkdVWs9WAB7e6b2LScBUgpEN+qrXGRRyfxRhpewR5N/gDqY+R
ihfudWvI3cxcxJIcbEaB4RlR5XiqA7i3SNKHVkEam831wjVxwyNZ+ZNcM/2jmphzKOvOuxf/s2Ef
nxul2djM5+pG3/q7ed/e6RuyT8+xHO4x2S1pfnruclrry5P6BG2TNz4ou2TdbtSNhbA4/o6w+sNl
Qr48n5+Y98uEBAy8e7kMKjM7k49skexwaefMsZpFta7UP1mO5KP/u+t8WvAYyOMTCLkOKS3p9fit
CpZRtzQETcc/eQm0j7f4+3rx/iX4VFSQzZHWuhuJ85AzxpEc3g4gGWGZzYq9OjhnWPX7t+5XKyCE
H7joMuqIqfbHW5hZ2WjbqS7O6Tpwgv7aK8ffX+BXC+D7C3y6d/S87bwPhDhveq8zk8WgLJsx+ZPf
4s8u8mmVdUfXmieHi7j96Vwhh72GofL73+NXW9L73+PT8jixV9d1ZopzkPAgQ4eFal268cFFpft2
of/p09FZ9FwXTfHa/i/5k58LespRELb/++Mfm+9/Dl4K76l9+vAHet5RO110tKcuXxo0Kz9KYflf
/t9+8R8vbz/leipf/vXPp29ZlDOwbuvouRWcZt6+tvv2r39qbz0BjYf5j49Hu6x8qaOn9Nff9+Nk
pJELJu0naBHfOqE8zz9UT5rFyYjTEg1KHR3TO0ejrn8xdJ2ugAbKHz+kbCT8OBmJL5gjESkZdFi/
WyR/3Ifj9yWAW/iHCxIqqg9LBdArnWJdAGYzBQc0nJUf3ycb3kQ+KtV0NuoocdYalZt9Vtr4Al/V
ec5NEpNatYXVoKOamAF2JgnVA4HmBJFYRnLpC2YZDlLHba31BD2TxvccgPNZFq7/hAnxKvGT7Ahn
Ah7bbIm1blKWciZszkhyfw1LQIhJRrmu5UDgGVHrK7uJ6lVLL4GkZc3cz8wTCAdNW1K7mOVPy9FC
2RRTdx9KTo+LnhEd+pLkFPlg7lE4TGtsj/IYAiojxeC3xE+IYgZ118Hop5PEjPZO0fqnWUQicqK4
TD5oAjsL4DNg7BMk56NrowBoSdOp9DGhQrLJER8p5Sunw29mKA8pISylNeYnlHHXmhWqZBYxx2Je
Vi4Dd1IOdWw9Q6fjVAIjdwNb6nWO40eGYkhXjV4j+da3/X1JrXfDLNhHvBGeBY1O5y+MX9pgFg+k
V6GTQbm17q208uwmRXNLl6/ir5u7p2h4tZU1qMqJUY7q3ozydhPhNVwENT7p2rYvnDSIr4h02g3h
dK2UZr4ojNzYqE5xYVsM9fFH5kvZxSJlijC2OWE+aagDveQpUfZa2CHRnurQfOjLAEGSqienrT9p
7QbE/ESzca45hZBIyAyc9IPobNKwey+UgHIRsic/yV06rtKel47LcQQEm2LuynYS14ro0mhHSMF8
Uve5ex6h9a0AfzqU7S43wT93mSEyw0vc115zk71ATqUF2Xxl9DUJ8P9Plq/NS3F4yl6aj8vV/8+r
l8mr/Mer1y2LXVc//ffiJb/t5+LlfME8I6BDYp/7Xrv9XLzcLzQC6EuaDGy+tzp/9DMNdJmaYCoE
eskSjssq+mPx0r8g1BT4tHXZ1pRf+rRY/W7x+rx0ma4tTMDd9E5RbDJU+rh0jaoS9HWdd4cZG6NE
mAVggCPnz/x1VKuf1kguZApmSDBd8BRy1v94IdTlfWXFRnlQO9O9ScJKsZYZvsl560Cyqpd6m3fG
rmn8+SoWSUBbRzPuYscOHsoi5vQfTO6pBlAVmXttjsdw0jEAFH3hWVNgN4xa4kZ/7KEmOMfBr/p+
HWuF4RE3FZHXpqQcdVJap1FZEtVWDGnXLx0lQGARNX5+D6/PXZnOXDOVyZ/N1BggVZfgbToV07FW
JinKOJ+BU4o0W0mbAg1DNBT6uYpaMdn3aXxetwlQQCZGy9A9omN5MZvyW14Fa7/B24GuEgzvxlSs
YgM8FlxTGa1cOjputjLHbOdPU+XpRFB4Ta3hw65eQye8pEt40ET52un9VcrLuyJYLn5gwtF4bpB0
Z2jG6kPVmNZJGrlnJYoX8MaEuBDZrr8acZNvDT8EhNtWpaQgE8iOgGclBlm7uIcmB/IzC6f3IHST
FpLbN5Om3KdMviEwhTh/2jYQNo1QotmDxkeU5ajRijxXfkQr2Oas+qY2WlQalpOHlyB8lVVna/XK
HdXxHqwJIEVA1e2iScgiNJR6gsg4X1ZWS+NU0bQ/CfgScpv9z4mdSoU+iDSpOtACwRWZn47R1VRX
QUAz+9CssqeBAdkVjdiFsqiW7TbfYqoKPYzxG3tVr/KFeYL9ZCW2/vJPz6WfKgcOFbbNmAAxjew1
IGz4+KibI93DoAmLgy+CkykNx2USVD5GLkNgXklcyGW+bNha6LdIpT0L7Br2Kp+RlQBEmTCou746
sZfOj/iA3XUjsIy0bbn2nfnRNn2KQZ+Ub38e76oUDYqoK8y5Tax744B7CoprhihqxIgBT1Ej6M6f
l5VBz2Y23e0MgGwSYsO0V1tUbc1D4RpohXKUVoZX6IS2F2q5GnBSCZ8DBxhY0F8lLfSM2Rwv8WEY
XX1TBfiQGj24CYZiq+nZWTc6BF845UZNeNBst4J5qcZX75bXfx+93s9GPi4iMo2acxwdItZLS7dI
1fp4Z91ZDKDJfQxGPeU8CwEI7JqBqxKFK5R9BoTqgOX654r+i0tKkPC7p+q/r/np01TG3q77JGgO
CAMfTHyAI4QDb27srZF1dE9R1QYWDF6bRrKZIqYwjXzaw/gKF45i7ovIuVcjULh9o7wCNF/TFjgT
hXWh+vOzGVSPSKYrr8qr8vTvPfl7RcEn9PMTlHXLv2sOebT41z9PX+pfaC4khvDnhmxz+rcwHlt0
NjQZ4/WzmsBDAZpE4zCvcpK3bOqZHxsyjClIZKRtq+xH9GDfVRMG+CmsFyoUaEt740P/hQ35LYf6
4ypmOXjeUXDwpMPc/dQRIw0iANc3twe7sTESYkDD8haK1LMrw93YvfPUwONfVyWZS9o0x4ZykjVO
h2bXjkT8EAm0veehX3TVjiF7mWHMjwd1hSGus48lWavDMR/KQ6kn0TViPDxFoT7buJpmBjNgMB71
1IR0lU/BplR9oFYBgYz+tMglB0sYMwlGb0ifinWu2xm+kuFv01o7bR6yEOtYuRgxT6Hr0zuriZq1
yMdIO8kyEuuvAk4Zyiaq/Ji8VKAUG1cPkGTYCAjHvrW8uhhi8iCYLg6Vr236BLTdMFYzi4pV38Jo
7bRt4k7WvNKbbgq8SbjzuEo7lIXUW5KBnRulghC6JHWjm1iDvZJ37SqyrBpnpl2iNETTstHKMGmv
Ej0l4cCSG/0orFBsKps/T0FT3M+D4QIHxuEW1wTRF/YO14Ourv5+Rb+/or89Np9GedD896FZe39o
dr8YQEx5FzULKf+nd1TX4BTpIOQklOI/r6hFbg3/Y+/F7fn2Hv48M0tCHG+tLeggyOHKX0IY2fJQ
/PEVpbGAB4vzMkgk7OcftyHN11sYKLZ5CGdFr29w+6QZusIp07wwVDoM5qh5IsKkEh0msjWiXhrS
CzlBhLKaZkigxzZatrbqo250rKbaZUU9e5PdY97tTHbyFQfhE4LcmOAVaTEnFwV+phJfE0bPx3EQ
7dLW9cNk5ZVnSBPUbI8YUqrwa2EjlBHSKkVfhPGfqixHXFREbifLTCSTN+CwCjX/HqgZnqtCjZGT
p29erCQtsGVJg1Zv1tgzvJCfai2LbmrzM0OZSJrCThwZkY8PNx1WagvgyM/78quI58eAEDRwy5nP
cTlfNyNJ0kXGrDNWtmRntIuxzr+qeh0DdoOZjPj3JgqUZ3FW5ozMDczI+N2IsZ6JuUn9a61yLrJC
XblTv4nnC621boa+ubOcYGUg/Hf/jkX4d/eN1+OP98r9U/Lyi/eQ7/mxVwpJE0Yywyn2TXDDkfpH
8QpmjPeSFwq+lqQ58KUfeyVlLbxT1RY2X1Tf3tEfxSvFMKRGNjabICmE1n+JCa9LmMTHN1GuAcgb
mHEyQIIP//FNpOfEqlzl5nnSp8GpEmSVfzWOCToLGN3JZiDlCpU3HvCKBGoMtunOqDE4mZ1ibhOf
NPZsEkTADmThEN3mqP+HvfNajtxKu+yrzAugA95cTgJIn/QsknWDoIXHgTtwT/8vlFqtkrqlPxQx
NxPRN62OYmVlkgQOPrP32ttJztnGdFaOOfJ514IlNLL23+RxdVRIALo4BOvwhFO3dokrnrjjrbe4
n1Y2EK0MWjWIInNBVZcgBpjGU1YVW8Udkg2PZnnXDx0jm8n+XkweWoks8cIRuXqhCsryejfq8V2j
VTJQbdDeZAgOxCW0+37Rrjw4s1gXb1PDvV4a96C7CP1dIp9F96zEbn2qInFqEgBgiZkeNG98LvqY
Dje5L3XrMU7dCS0O54GZGzUYw/gFg8aBEKAwU6MXXDav67oSpTVtSt4PI8wvgGEpUHbDIIu9beky
HOGdmlXek7c6KsTiqkFZjpQ/vjSl+dom/XUPOgA+l4W1RviLGMfNHNXH0skdvxT93vJYWxG9C5sa
UeJSwYFAmu6w8Q0MZz4ukfLstmuCkAlOrc8OMq7Q7DjdwinAMeiuDigtwkpKxwE68iWnQgGQKHzL
aJdtPJOOGdfJewcBnuWhZgUVpGAwG8eC2eSudPWrqmZ9M/ZFEpA1962OEjM02i9pz+rezm0vZOjG
INOyA+rGL2XqUH573nWzxlQsKbrWwWke3NbFfukVe9AYtwX8LG9oIasPws/62vGtNa5pUuP5+1wt
Rzc2PxywkmE2sMkhjfvFbOsjFtDvk7rcNq7ywDDuZaxxBbV98gUijjnDSIcIxOyqdFB2wMTHQ6N1
VHHj5+R6OIo0i7leHW8zXb7PCcobMDtbZ8jfZ8pKgXVkBSWkdvc2wPk7Aw5lzliu+sYeLFERjKvq
ke8fO+QPKWRkpcgiB/S9DkZHB2NkyWkQoH6Dq91EvDhff+ILUsxNGsEFYgGw9RS8MZsoV2Kfx0iy
nwf1euFmQK+SObtccXG5m0ySeFQdDSMzfNwjJAfxmiWtlessjg1iGlQRGlxt6KQagyxWbUauaaTT
oWTMubEakR5dd1qoea0xxMXTb2bg1huV4c6I1cdV42vcWYSF69rFkOQukHJ1i2I5Droiu2psmlZd
e4K/Ot+3mpK/VETrAlPAAW8wAdWitg5dIPqb1jZyDBMovUzAHBMY8I0BTZUMSZfrRifw0KmgnGmj
HK5wFYIgE+iPlPmSw3zOvUrfSEbPG1kghdLT7q2Vyk7D6LoZjPZQ2ajUTMs9Kq5hHbW4cANR453H
z9J+16npN9iMUWfF8KXZ7LKaThzMToTWIikr8Mn2i/reaPpzVpaMiwioDMd2dHfVAsgtzwtrJ0pA
Ax3Zv9TLjYDwvf5+I7vcLGZ0arxkV4zjFdFKmT+CP8y89jYZ+a5VxdpqMVzq2dilZdSzbMYEkS0t
LFLP9acE45rhSn5DUM4xKG3xZ8/bsipvEys1weTgfMQtenJjyaqyVneplb+oQ7uTSne/5PC/i6Il
7QFuWqXlF6RdSL8lwVT4y3ZRXe9t2X3FRpSgeRIyAJ7BDZvT0F/cqXwou6w4e8lwU/ETZegOxqEU
jKRi2CywY58ofeAD1icZuZ+T0LUNiPcjIzioo9q0Q2Ny/99S/ZdSnXnGX1UIXff5n/ppXvVrjfAj
OcmmINcNnVvtdx4G0KHrH/+qXPqtn/6Rj0ScEpEx+BvUH+nYv9YIHlpegrvBSPFFtLbu3xlw43n4
Y43AgB1y5iouQYvHpP33NcIgEZxShY/XM7WvEyZDlJHj6mBDimfmRoUenfoljw20vMOQY2bUEOcz
Bkj7Q72kBA0O9pKfu9kblzCb9J6gpbGuBASeCnr6+8SWjSVZ3UZL2MctR1w8tfvpR9iS9yN4ae66
rt326RrIFM3L4gXFL0lNQJ9pWRs71hdATT8ynRakNzBKZDxpYanH7RKajlaSGYCjDABwru2kSibI
rh1i03osNLhMW1gsB9p+DpzKNvt9rQzzfjJmmX2Nhjtt4wyMchjHWdmHsLFI7MOtelQit3hLsTUw
Sh41ZQOKfwiVorXZGKY8nxNmf2pJMCDNgPU2WJCcl6U0dj1YfqIfGxJlrDn5skcFrGnlflHpEIFX
MqR2ar4GnBAzwoAWB4bleEpiDIvueqjGaalvWERCRySG6g3ubM4p3eewA9hmofvC/SjX/Sb4eXXv
tiZ1CIkqr5q78pEXER/rVilu0JgmG8J/vJ1bV5+5s1g7oyAzG2ODuetEn4ZqB5srjx1QCpYsbnJV
dj6pemykB31TNs0YukhlyQc1PhMcVnt6Hi6LNboa9Q9ECEHIo2orb3UORcxeCok4Sbi7hIBxZ4wI
MSd6CxUqhV8wsp3ge9KdnRBld4RYlgW6kmQXPjP5l8IWx3wckI9kWGyBfG4sZ5xvPS+ydqMnyrBb
EVVQK3Dhtqa7GWWEeW1p+Ziu8VxUuc6xR0Z425oq7FmM0YLFyaavsfhJYWRrEmRzGwMI20zxCMsh
pSJZZq3BZDnP2DqEXmzJBJvCbmBzgWmvDifNkXgtQdlEU5XvtaJNfMYy/xSY/b/WNfx/uBik3fnz
Y/OBmBZ0Fv/eW607iV/PTXordFUqGShkEHj2785N4x+2TtlmrQ6u3yYcK4nZJgXLYf9H4Q0E/7et
oPcP/hz9JG09ik/Eon/n0GQ1+cdDk/E/BjOCfvkPH4V3+lllpVQlpPqmK28qrTaBf+sSOeAsU7VE
pD+vU8NpGjAJFU793gzl90UsyQ43/T3JE9iKnbd5AD9bS/B3LC+aGiBy71J9StO5Unut8RWMjBtR
Tya4d28IrHhOtnptI+GuY8DGEZkgQ0JQfCSuu7n/UGz4JJY3fjDfE2HCpEJ62JPwd58maG7E8GaX
1WzcqsIKBBPNKyCuA3YtvsYG/kMRFEmtbN8G/K5Lmc87VXfflEnbJmOvUYvGewfif7XkWFvzJOKE
G19GV3ks+hnke67dG1b/HLuWviPMxaW+M+zrGII+oBaidRE5tUxj41fHWcSus6h+MI7dpmi6BHZU
uK/6PRL/1cuf3k46UHbV+jT7cme042tnpidTZ//aAhOZUMQT1svf9val2j5LIz2ICV052cHPorOf
PeA3o0BBYbx3nvfe6t11u6RPlpjec9MtA2RfS4Dg8kbhw1Jaj/sSr+gm69GxLdCZt3Oe3oMpu5K1
crUYTQTQHmbUrHPyWY1bHjKNbQV5BslmVM0bxRqJMmDkvIH05vg8l05ZYse7TJH2tokL0gYk1tVu
erQ75UhfhhLR6Y+uGDISZsvrejYRB+b0rG1d6bu5H3cuplRmYDLx67lwgTUnbZCp5RDaQzSFltTJ
aiv4qjPr+zYev0WusyU39cZWJbYb8hXwPDS7lkDUSUdzEuf5QbfgeU893QFMe+CKansoFbbKrU4Q
Cjda5I9iOKmOepXwq+Bvtm+Z0t4RgHYzxuohzpzJt/VsR8TsY9mbe281ieWL/dhnDY/B+BuPlE8W
24qfL7pAh2qbm4HaeuvK5RnaRA0jjZxcp35SpOyCohsfFa+voZAQOr0UShMaQ34/K/qM/BckjaaJ
r7JDxJ+K+mLO3nVuworuAeBsXDGe5TSM4eRiDnHGMuZead0gE6nuR0TBQkWCWWm002sfka6ldoSM
Gm0HCSfPniThpUX6aPRawRWYOiH3WmBin/ZdvMa7ijxfnNxtvZ80PfINoZ6IzL2YFfmkZZYymIOT
gBQ3CeeqWQJHL6/SlXcwK0wCU8Ng+xUvh2gSr/m08iIM9d40jsr8lasNFue4vRMwmo15ypiEOuyK
xTfKvC+mN0zTHfOrXdQXZhlE0RZXNbRBnVntBs9DEtpABTdz2dwlsnstmKGgmT24YgGDCAQEyQpr
tglCotuZfuvOX3rXfo8VeRpFf1vUyqUfsnyLgCdYIK1B6yMrQ6WesKpR32QSV4qkm0CH1X/V2B4p
HUadQF7nNW3a7+hfiRMSCpWImJjujK6NB51BELg51y8y85lTtwH6gNJ0KOz3nmkZAgW4IxzIJ7LO
pl3cSblNluHYRwxMAGvf2cn0mqUW7kWTrR87kyKsYzJ8OpPhVIlPBByh3yfTfW814MizKiwmZGBN
nuphVVktN53glnBtwnjTLBRTdCXWFGtTRpPvKPE9k6ZrUXv3XmTujWl2fbsCbyfnAioR5CNU6Nu4
d4vndmSQEcHVVpjYAStab2wrewK63G/sYcy3HKsmmbbJ21QRwgmTajuM1ZED/W42xbBv1HJiGiXp
6KmcUlDfA4CyXaKmSLA7g2oGHHnkVscksk0/b4pzlwy3KWtQUB0l5hWjY3jUamEVF7x2GO4t0q8Z
KMi3TmTAFimdN3qlJ4AHGwWqiPLFXoDnRdKmO9RPtwTOvNkG93ZTOIQolmu4+BRDnIqW6kqlpsOl
2jxrLrPnHsY8bvYJKiuS7E3C3DAQnNlWXanbLFUJWOrFGwnBT2Qvm/4YVVuijJEK8Cvf8Lhr/REa
P/htTEseRkDfHlIGZca492ITwXZigsIXrJ2lOTwmMzZ6nol+n4EqTZnbU9gxnCF4kMuNTX9A1gFX
LHmV51pZxiA3swuab7EWcaMfq0zIlNx+tBCet9X8YQnrJovrz2kln+L+e7ZtEgfGlghJW1ZnlDXN
lWMtF57/tAhOtUdwdOjpPHxz1teoQFU8Y+YpDt3SPDIZbYKiMp6U2bxGFPoxNsXWi7JHHvbqifEQ
3CACA7o0vnbS5sFb8r2hdOhaSKYibUXIzWySImgxp2FjthGDSQgWLiUKWOcdfogSlJTIPuEyy3YW
7p0WlU3IrMlEUDxVYV2TskD4cnRQ2/nVVrgY+mTQt2RlkZxMze9GyjGN41fmCEGc01JMWb0TjeD1
Tn0jcqxKhC7EIeOu9xppwlb26QtmXmeTNfaNKu1vwrSZIxTTfomNr0wlRdYYNIlIrk1Cd6rI3nbI
JOztLt9AQuLyyzTS0NMZTOmivdjdcAWQntVJzS+2VTi10RTFQebMo28r2Ss7lEuejonfw2Hxm6E+
pQNR1Gbf7ubFlL40rMynGdtnMbwdMr553vU6hHsdRorI2iK0PfcjiZVpQ/51ux2YVLMSGQZyJmdf
AB3mVLWfShwQGxIHAF03ygPjvMfWY4pXpUxXxuIsO3BosXQJne5Ew/41uSfTkqq96BmQ0tKUqvdo
VvImLtAKGl2/5rUpEtQD95Mx9NspZrCi59VBoXLihsxUf9S7N/Lbbiad5zk/LR4hLGpsdfSJrPkc
ccUotf1lq8qDYrg8BEowGrmXfzkdJhS90N+HuT15PMkZrVvv3eDs0HS2QRVrx6gyqsBbBhOFaf4U
lyU919TqviuZ2yrlNo7eVDc+UxiYGxzcTKtkdqytVsO7mWVXeioOUdPyNTd/icna2JRj9qC1OAtr
qdw5RABudKb2JpSaaRWW2wmdc1+LKmx6nPKzxSyKIHm+HbOBZzu2mCSEeXIbceO6MzxOpyGybxy/
bJ2mnWuGeVFubNVBAsZY56qtxlAXHDTXwsWw0z6sLDbAMq/v7ZTfkeVoZAQmE+d0W10ms622rW0e
Nbd/z8q587UUd9T0Y+CqPhKWfJzm4kE3lTIYO45UR30bBqIEXUYHTMkdkg8Kea6ZDlTqhON+Rj7i
1argqs0+PWpjUudAJUzV51KCAGKLhzR1Oeg6kjUS73sne6wHUC0dVZ6Tc/QlDVdm4o10okXKh5TO
DjDdF7lCaHLE9GKU1HygO/20yJ6J/DhEURQkefUauflb1ksC3RoSUnotiMtpC4KFJ6XR4Fdx7qYE
sLNVYgZtxP3Uefva9A6epQTgsG76xfDnVJs3s5GESVSEtKBnzK0HmdawrlRCVLsMNkoTO3p+W1SL
/TyL1HavGsUa+AOLZhZ8kO1Lq1b+mxX6z+Ue8qg/70HPovs//7eKP4vP/7Rr56W/9qEaehiWe6zC
9D8yRYljQ4G66ulQW2FO/G1+Z5j/oC3U6VpZWTMIZ5H3r2W7/kMqw2jPwpkI7P1vGe7pdn+34UMx
q+JBUtHU8bwlYvr3jSgKUEbeFaYLWYaL5QDU3pnN008/mJtfNvc/y8r0H/npP2/013dBvU8egWXi
JLBW4dlPpqImYjVoLVZ21YssLQLhqpi6PBgffmToeZgZHVmQ7FdIK3Ix7cLV9oslOg2swO7UOrkt
SGzUrSQ9j6rK/k5TLGjSNLiFlqq+GieHUS8Pckgu6cCNI7Wzuoy33axfmkWcpta4RuVzVLN8BpBO
ZZNR1WyddcRFAMbM8tD7IMllRMnK/Zf1hAPhgvrCe95C/LQhkhCU4XnsY+bN5GAIn8GS2sdRWcpd
NE5O0Csd9BYPHeckFyaXeV/hSdDNb5HhOTunsIzvegkVVcEytEvVPLHDRDZ1EQrCOZ+wyMPpc8F3
7mMPCt9BM0Arsd1wr+y5mxm3AxKE9EEe86Y3asP9tuiNHRSNXuxaZbGtnSbGCdt5rTH4bbjHy36O
Nir0/msCkpQL/35NYD3HszLJk1CqncvEP7AlezFvlT61jpvujcLMj/KHwpf3Q+1r/VD+6j9UwDF6
YPGLMljLWBuucmGvtZ3jwHriBQeJ+TQ4CUoqFMf35g+tsUsaHtksujWiQWYqbPNg6LxHIVxwr+iI
QiikZqDXU+IXEjwp4tL5MOgWdYOUNFb8zM+UoN1rx7J3msEuzTTvG69JD4peaiHaMzQZgOvvloG9
i4or3hOadxeD9d+wTIHtNdNBihrr/ZSjVRYaGq/0yS0tavWlHAK7SZew7RFzdIjF2DpP6dGGZx86
rK12fV8QgEr1f0W9ra/YhW5nG8N+NCsnSCZ89jGLJqac5SWtiguUv2pbtumtKSxSvGUWRHaxFykg
+NhQbzpvvO81Z3iMh8n9ElSYHaE69jjZXyKVgVViLowa7UFV5Da2e0jyIg89Hum5y9ZoYnvW2fVH
1/WfVdp+ztn8DekHMUjD0ZvKLQcIhpVlZ07qZUZxbHj9HikdMkk0ue3wplqSNbKyLUaNGSg4TDm/
w39hdvoeqVILRrswmCTDu86t4cWy07disc2Q2q47skGMyfJaznqpH4xYv9i1DEaZv9T8+rreYK/k
OmE02Fs45nupLi9T1IVxiVS2UZuNAWB0o3WVegBvlJF6ykLKcW74Hu8saODBlC4x++IIUOCgppfE
tEGjRfptX5A5Pjb9KdYnLmaon0VDk5pHDldZOZ88biJVoM71WhKw3bNbG2dzEk/K0vu55dxLPb5F
9XkmzNEfdO9cyuE28dhW6yRtR7B50TITwpRrm4xwY1+2Qvhxq17lSv5d5Nr3Oi+PaZefROEeM6nd
LiPCcaiKoigulknFWjTzaXEc9gEMql0YoU3u7KVnBV7LZjSZaLeXkUHNMh+apaqOUG4/yjlCMZ1U
RTDHgN+tych3jVfvok5T7pZZabZ/ffL+B++U5iK2hE+Np5Ovun8435NZI77ALtIr0eR6OBTeHDrD
nAcEhxXnvjTGwBlAfoqkZHK/fGp10902Ta4+uIvLAHGa7mSbndUpCnLPeVKnfgdu46uC4hHUdduG
ZCwQibFmmC9c00WEuTmyOn9kKYJamMhNx+33cPneYBVLP826bzp+rnDQepD4ak6WWeWPjd9NB2wA
bMijaqdl7U4Hzl/ojPpK52MuynvpZEcJs3LpiiP8jLNTi7Pb6d6uH2cwbHO616fEwved+nYEzy0x
s12MTibo1O7OnCUFcGIf1cTjvkYTeY56mpWsnR6zdDA3no0EQZ/1azMlC6yxbRxcaU6INGPOLjvA
f9hZY58GadEcoir36D7RltNabEmeCK24PhcxeFCn0q/TYjwVstzzXCNfoQa3K+ZuS79ynWfFHZwy
1uDVUAQ2ccS+UbNwaNsbWvghKKk/2UFkj+ZsYqCa0lcPBnC6asMnLlAXEUaeNyseFX0lY2JTe6Em
DkqDRAHP3I+cQ0YnPoTnnNVGHbBgKR+RZi9EQawNLpCqvCiJAavXs6w/p479rKvFVlVnhqms7+dS
1/ysm3OCV+NrY7G0AATZSr9mmgBsQ34TNOon1GbtpWCbcvjrS3WdeP+hRLAJbIKwDnAXWfgfSoQM
INjUshu7imQaGNmx1eXmr9/h97JC/knDYVWJDscC08og/w+yQsPGKuh6cXxV2BmJc9epTPdpfdeO
EHLawk/tZutl4V+/5y8O+9++r39/1z9M+mWd97VpKMpFnat7XI4Ipvg/PBWf2TDOm4Smg7GK9WRH
xmGQUNmHCdZXUY0r5jUVftUuz0JxziBx4BqUybbwRu3NTUwnKNXs0XbLkQZ/PjmF+WJH+XTUCsOW
XE2VCOXiVKFbK0S/1wPBftU8H+TkGG+iIhGNIaARpmn6jlWZUDvVTgJO4DnoXVv1WeveS7NYEJvk
j6gn9EMZG9iC+g+ECXseSg9d227tbuygomZ7Q00UxE5UKMVYVXTwUvUBOaFjGC3WeOl0pycV3sOU
dB8jtlk1zCcu+q+mY37Y1emhNcl8G82HacmeTDU/Wr1AtLPSydLIYEPQs+GwpXXIl+zEFDyo5kgP
DKgZPGByTln1aVAZ8aZZeXGTaVe1YzhEC1ewGuZ9XBIPW+O6Kd1NvWRu0BbRpYZiHVvOXhNrHH08
3aOupoCrlQfZswwxjF71F2a6WImwfkrxasfNpVXL2wbRN5mu+G6042ABuhwsY+8gcAlqTXus5mQ/
RXCWh1ZeQe8xQUCDvWvNT7chmD0ipKexzF1cm2dn/Gfg1p97Zf+3a5yO4udCezQpMXSGzJfsXN2w
6Nk2p+YbsYsHwibPLo8e/10fMedol+r7+Isj4k/fHOHAz7fwr5c6ylhmszoS/vXD/VTlo/p2q5yx
w6UOrE111v16K0HjnZQnZ0sK2eO14p+fhhBT/PDK/xRX81ndHNNtdGUwifhfPs3vG5tfPoyBFc7C
uEwbZf1B5z+rIzorLUuuEvUGGOImVZ/av4k6+XGi/Pwe65bvp294aUupJEmR8HD9jFuCK2//+vT4
j9+Dg+4Sao1BXPsffpvsCBeEYA0Pb+Wm8bgfLGrOX06o/66Q17yyP2/fL68fn//JWrq+6l+dO1lr
HMiWqel431DC/qTOVf+BJ53enY5N13WbL/2qzgWVRy8Nz5NHDTL2n62l9j+Y+rND5gWGRhv8t9S5
pv1vS2SXgHcHJT6uPIz464f4+fJTVG3u9F6LryOvpJ1l7dJ3WKgLKNrAU55qqNr11HvBAmfbWYHb
VRnz6JbrYPvTXJHco2dxMo444Z3ihBcODxuL3org9UBjU7We15t+hXy70L4JGINEmXpeaKb1uyZZ
jvWuvOolewpteLFhhmuww60VIg5W4bvtFYFC8/CNR7m6r6je4nKMfCdap9y9JrYSLrlYAeWxpr+Q
8kCC7AovZ+eB5kOxzS1RJ1/D2H1imQEbjKY2dEWGWR4OusiTW6Dwrwt8dGVln3orMl1YdHQ5FHVr
xalLWHBQ/UmD6xzx5sJcT2Cvl5gfNu3ItyhXMHtXazcKpPasICwXcjt7QDTxLXG3HVR3K8tu1MqY
Nmla9P64ot+LFQJvm/WwIYr7HQY5yevaCrZLXGQgiYXeX80eBnjyaP3Z1atQATqjcM5j6d130OfL
UrvtqrHdZgWJDgqE+gRSfdJPp1oQ5uCMSbcxodnHWs08UqATRJcvNkJaMKnTDhoMKVmPxJ9Ue09Y
kgglJ0OaCzAfz1O2JQrpA4nSfIyHhIjZSkWvuaL2DdbtrMiMs91A4TfdGrlgFN3OK6I/aXpvO8c8
Tb2i9DbxivKvVqi/sJWdgPKvpA5FbPN9xvqz62JjVWQlNKexA2SalAConvihYPgTHBBBCmqWkA2K
Q9ZY+d57CSkGa+AAofNlWKwhBBNpBAWpBHbc1pc0r2FWr5EF5LSwRiLEQCXNII20PhzWgANdb+5o
/BIWpsMUZGsMgivxh6hrNEKrz6Ufy+VdtqoBFl1Snq9RChnga1+u8QppRtACLJMLAmAvcCf7s62J
tGo97aoa+wpvNJcyPd0UxEMK+D9mLqUp9n1FrsOwBjyk9FCbznWKfd9Nhd/FI3HJBELAI3x31oiI
scRqgoYdXe8aINGQJBGpCKobszD3oGFfvEx/o9vZOWv8hD51F6VUCC5Q3IaNehUsSfNGohw209Fp
SI3rPAyM89Iz+sZQCruOizcNp3YuN8ZIUkfyNMXc83ruCoYnUmVTMG1nozduWGi/jFXdwUhPkbV1
hI411vxtot+mM0IsOiFWcEfw7UKQV5znAg6rHHdjgSkmFWAzWuT4WhLbp7ZBANW4pJmB9X5YRHTd
2jW7c68LpKi+0r65143kUOnuaXDhQPTZaUGlotM4J0pyUTP05WJGWGUWWM/L1rxTBZoRjX9326Bz
cA2mPjSDB+HEOuZcPrgX77vRPCFS+7J7Z9vlzPwFkTsCQuIRxtervhZ5jUZESIMcgR32YB/Tpd+6
UzwRPZQ5ff9Uxc0gtlNSm4tPfIO4N0bZfaOVHZlM6IDGbbUb2r2Rutb3OBfWse/qIr4hFi92D32j
mN+j2NajS0Y+8q70cjLDvehJYzKBl5ydJfCIIoy4XvYmezTiCRHwjlx3oVXT9HMVvkhT7heQIWAJ
7X1iLxEaGYS1YxqzFRTRrbss11Mle38pl8XHVnFT2DFlNigW1kspx1Ne6KGMs6+4dW5bGwODMpIL
iN9wX8x54Tu1c8eMh3nC8K2x4LJzF+/cCA+fhy+2UZcbD9GLzGfLr2v1VZs4x1F2XGdYnLRRK/y+
j7p9Uygp11p0Peeq7s89AclKnJHihGIxP1Qrm78zqldHDAmyCtn6DgD/NM/edID+IpveJgD/VUNo
3gLyPzJh/zOPy9Fu5w/qdK6gB5T5fpUlVcuObmunDO51vCYJDEQKwDI9LmVPQ23oG0QVoUbBttHW
HIJiTSRwypG0RNzvyZpW0K65BdWaYEACDFnSeorDERfkTMyBMaiaX45o73S7uUszEuWL1jlH6JXE
mpLQrHkJyIoemkS/MtckBSsmP6SF9OgRspDb4kYQuqCAu/eFaoNFGN6zkVyGcSpO45rUQE92iurl
CQEP67D0el4zHXTCHeo15UFm9Tb1VGIm3O9M89MdYRExS04BDhKXS2Wkhk/QI2lvRYAj9d7xcgMd
uflpD167HdecCcPtT9maPIGdw+YvTuy92qPZk04h0wRnAIEVnu1wPuMjyQfyfZT0Hpj3ayOdg44y
MQcVPZB8kRv8qlUY2K0kFMMhHaPU4s/M8/YWDDWh8NWIHA3kHB81uRqlnux+lFH/rSdNqu8/ryeh
L+OU9lu5/LsqcX3lrzUlRHrMW5oFaBK8/I/q8F+OL8xgmmOvmxLGE7bDq36rKeHj0tN4eKDZBf0c
+mtDuFdBf2D5QuqNl+zvCBPhav2uh+Nf+oGjt/BdspVaP8rva0qP4Zkdu259ja1YbLXZJq2anTRa
nuopbQ2XqDEYsp3e5n6ROxB2rP7QWNrXIFR4xtiQj2NBkFaZkH3Uq3IfizhcASlIqAAWi0pmW8nx
mTnZ2xhBFtcGFsnsQRsEvkMVOkRTAu+YvZukKR+t1iUGc1yTFPPlPOfzYxzjfVLTpygzHkrIWdeO
FimEzmrEkqZOHKqTlh7LInmKzDjHPOLdunk/sZbRPzWlZbSuK+ND1Xh7bHSnrJ7mrYqaQummu0Yb
rydRFwfUZFdDhRXCbHYWq3t/sKZz6bT3CVkWm3YWl84idy3ujV2ueokfxd07u9kFmnM8hM4yA1tJ
yfJMm3uTiIpkMnFsgX1gXpIehsL5rmkI/cZpvBpiFAfuEiP4YhYhp3KfCGgQUy4TDrA88KB5RERe
7Ilh5kcj0+FUpKy3Syu+8ur06Ll5Q92KAq5XPrKs8DZp0ziUjOluXEbOvchpEYnniKkIZwIpamxl
4d4YcYWgE6lUQcAJEBLjLuNxIroP3RVfkNlDHKkUvM2aUaJ1r4msTL+L1lhfp0cmx2ltrA4bw9Yx
zw6odgqTqevc7V3h3SFuEzdNqV2aKZtCtdHqMLUAqsAP13eLrj+Yyyp3GKjDFOsRd6p3bIZsnzuM
V+0moqRDH+FG+ZaV4QlVILQZ8MmFisum2orJk5yg6ZNnduauAontR6towiua7ZI6l7mZn3VRbs1q
+G6Oc30ojeEOMATmomX85J2ncDKKT3xm2nUliIdptPmG5YrBai+5eFKJzniK3kh5YxLdavqBB7b9
PVFKJ2wcRvuo9lB0q8vWWkndLRk3V0BZnGO9crwndOArjioG723U4KQs2/0AcjwyJDLQ4zjbtp72
vRGRO83Y3YjaF89E/2LOcGSwO4cNHoBa5vt2pOqRFj9iN452Spksj0bNswQN68jI2Ll3G/vUa/Nn
kTR5oOXWXRGxIrMpmdlqXa2wM81D75bbROFVXfKRLbV36IXzMa1FOJqTLrAGqjihdbc90g1uxEsE
VC1w2rFGRdFiU3bguuRmGIvF5Ap35UabZl4xDWhnxngG/xN9FTVxfe0sA7Ps1WvoAcK3JRZARMGn
Rq/UcFHtZk9pHvwPe2fS3LiRRev/8vZwJObE4m0IjiIpUvOwQagkFeZ5xq9/H+R2uUoul8Nv7U1H
R7tpCASYN/Pec76jkP1CttFFH2n1kkylp4hUrwX6q+YQGIo46kif3oXw4ttcGOxxOjkqc7IWGrP/
qtOHz2gmu/59dTq+VGGR1y9/rU3z5/6oTTiNYF6RhSLpxCOdp3/3rTaJ38DB6MSczhYkm6rwZ2nC
pg95y5QGauBZjfBNqEAygNShCzDxNwx7bpL8C3CHPqshfpgQcAWSV3QKk45qQlM/dfSiSok1e9KC
Uyqw3h0DjayLQRWBJDEoy/xzzh75YmpL69kKjJ52nJLhN+0HpX+qJru+dwIjv3Gc0Jxcwj96Qn8y
u3mo9Vbl5ED7YWUFEW7HULkfNNRmKHENN9Eg62uDhbyJ5GCSjNvOuvWT8aX3pxeypo0FrW2rlimR
bWKjJWl40kZO7MCbVkPnkQFSXdBXhu1X4+X0K+K8fDG+xGVFI7zHXMqYco5GQms/MnAjX1jOoUbD
HGwn0UE7O8OvqkXXe9sita6NzrxOQ0tdxjpzMW+4nGTlL51OfYFwc1Po2nMgMWHmXtWvswzxJ9Yn
AmFDJ3VhebFKG+Z1ZNmHTtaPWgpa0MqSA0LDfRvEHBQ9jWy92mapqRBtpn0B83+Kr7uyuCuNqTjq
FT9/sO7qAsnYwJ4c5SKZJzhMEzSwjc4of0CFemBtBZlQPKKo7NxaFcWyFdX7VFcjJXkGzNftNqmj
DTq1rcr5qrDtiCOM4xoGlYf22ZrNK2ox+On8USpazk6a2zDjvxnd0C4yJ7/PgviNjfSVNIKlLJJX
NQ5urRzxbdNExoFM0x1O2KuwmGNxTJsynYKC9uEO+jMJIU+M68Cybo0KyiBTgDcrz/YTIodilAyZ
BVGcWUa4C32CiMI+7ME0uY3osSLn2SYJUR1qRovAWO1wp2b3kVUz07P6cM1Za2UVpEubFkr63isW
gZBro7S7y3Zu49hjDSC5MnZNbKX3iBGGZRW3V1OHQdXUAywSLSJHhcDNaGzvqjH64nU93fsAeJxp
iLVdyQc2lo+257tapb4kJDkshvnPEN21Msp16U2nBOEl7SsEqQgXx/wSgfohceLzNFrPoUXnICPi
cF0NBLUbHHABuox7/Bxsx8zokGv5UmKQXQSKfFBsemiNyW5CjQbPVapwHffxpVmkJyJi94Ckzl1N
F6OZbdq+bawVvXwmmYaIVg2pf+IvrJwC2VmnMSTVErvuXnEYOHclh0OvvpWR/YVMzmNlte9wuG7r
xt6xST5EXazuBLmTbpM4NbmSPAf8U2+J2vMTmzCPySHB1ppZJ26eSPc+eCwruAKqSE+ap54ZssDz
j7/gdXHZmAiUt7hfUz09E1wgOZQFezIOsofAorGejIm2UESW7JWkLVxzTmDzoDK4dgrqDEz3CpvK
lVp7j+Q/jC6mzIrJHT4GOR2SrDm2Ktvh1njqrfSl0VUy/7hor11FRbhMPNLfCDGr2cQYOlryAqZn
6CXHljnlIjMkGuk4WxpaPM90oQSYwYXTNvo+VKvsCq6vV18MnTrLCTKyETR9WjpOib4jkg9tylbO
z1Pi6Utm6+syEc2GZhXz4ywHzjMY2nkYjQumCOplwA/L5Zmbp8xOp4XZQT6iyzI8TGXmX1eqmuwj
UNibhq9g1SdKslVxYS9Artr6DKjzxaKzmmDbKDq+ReZ5sLgLoa6VCHb5f2X6o0ybFLW/L9O3bfJS
vf+1SM+f+lakSSSQqsCfpmEhQ1H3Z5Gmfps28wXyBMG4fZwS/6jSTB4owTZSP5B5DCCYcvxhBzZh
90D+hepDq3JGkfybKg2S8FOV5sJwggV/gwrHgNiEHw+QvofoJ0tziJcJIc5D2D5XI+2XOEbSJhA+
jFXyYKroRMbcO4aV7JemygCiyrpzWuc7slAVfCEamNWuXNZKuEdKdSSZrycDMbwRIn7rMJ64St4h
VVcI0/B67ZhP2GP4wfpuWs9HV/HQT9azVhuPDlI11DmOsfYSkskchfBqlqdV2TOr1iplYfsgGcIi
ujdl9lyM+V0XYNfK6Qm6nmXdV2VDglr20DjKg5eN+8CyT4SOHLs4ODR5+FznwDxD+r2Vbr4mji9X
KTfGmSi0NpqWX7Rq/pSOYlwZkc4REbARyqF+K53+btQK9DNNvzYMkkm0SKe69SE8CEW+lUFnLmVi
Heomue2xzTGhNldmLK8J2H0ra+eMOhG2fkk7VPhRs/KAEMiieyQN/NVr8ievhA6eZ69YJOmCx5VP
KFpvb2uCRf3C2YbzjCHynxOt6VZFIgskYCyPfZG/9qpzjJWxWZLG2iMeYb2hyeaswxLwByToQ1PH
F6XhHaj0jJagYYzk84iqv/DpMvmaeT1O3dfQiN7hyN/qob/x9Okx9QnhFTZ/JA/JEZW56HsIB5rA
AKYhOryyuvpIUPjXJHLypaeITS48gSyLQXEqtAfDN68NZI1LGca3hq99bTWr243h/HF0ZGtDbx9T
pd3WxL0vGOXhZ0BH4rVNtLGs5IkYpBj/Y8vpyCRjms6F+9FFBpSM6zleC9hljFnEpmyCHMsb0522
4Kmljda7GsiSdo6SLye5tsKaIKIauwKODBqYsQ+rAX4bMsdrlJ6bPjPXLfJ4lzDz2TxHN100A2e5
qY6WScsbhztZceXESzzWPMNUK3yYE9MNwDaumklU/N0aWd7NJPULQtRphWoJPJvS85d+wpG9a+NX
mp+PEpPswraKL0JFLJHlnouGZlj0IiQPqaItogRbkSnRUrHJ2REi3yDU2iCbbN1aKM62AVSx0Dv5
nkblATdcx/QkKpiLNMxlRqYxzDIQ8g13eWmSdYTkibcxXWBs+sKUBfddRQIx+8LpzKRa2xtk1i8H
kEX+LtGcgPDjuH8geb7qVpUC8eaer8FrTlpjEydkhVBVLC8V2a2NZ4p81aaYEO2zkwzQ9qb2GaNr
aJ3HMgzOejn4TyFViRpq9wsjMLzLokYX2VgY7wgxF6a/DdBW3QQlRC7fMYcrkSgXAGdCfTX8zv3C
LI5Q0KrLXftBBis/KGG0wCCG1SNqNBhi+e80sUjXHuNeIEdMsqJlnUkC2jKW/Sr8to3cGKcaBZTO
hDOtYE6aJTIazfZvxQemT/M6H9W/zlEF8X5qec+xGQbGUWhVqiwSZ2CH8V+5/P1US3X7+3J5fM/e
8tcw+0nwj8YH/6iYGMEhPhJPr7HYfWq5GvOEf/Z0Q7HHJY7o7H8V0xC/CUFTynGATGi68X3LVf7G
aVcXmMARBvybaknH54dqSedWmLpGEB/VF4mB81mTZoORknAolJOqJC4WLAa2xvTu9UipYzOxgAMT
1KNG62r004TA7KK6dniLrjS7U8g+sfPMvvYZBUqwTyORk7VaPTD5s8dXrJX4DwMvxbEFsSYiMJO2
rZywUtJVqTlqb+j/Ql+caTfw8oZVVyjOmq7XY1bE4tUvoeOU2lCs85mY07ewe7qZokPVG1b6TNZp
Y616Lj5oOzN3Z6JmXfSZfRFFFfn1UDOIL0XdBa6n1dovKb7sRTeTfJKZ6ZMA95FAfsaZ9pPa5ooa
3V3KmQSUVpG/cmY6UDWCphpnYlAVI7jKkUHroxOvJOfahTYThiZaaRr5KWdwzBwvxiZ54qw43qjq
Q2jUrFgKyWqlHywJ4ryKJuy5OPeOo+CkLzlJ9CgZ6pB4amL5GLqTjCZnGpI9c5HwD4UX2QcraaYm
MYsUq9qcUUoV52vOH/CVugJJOo9FOWGIogiAYYqaXMfUZlAjITTFXT5cTZxy8AYb8dUAyCmfiU7O
zHaizPGheJrCNScmGGOuniWQ0mYgVDWjoaYPStQwGHLJ+JmNSoS/GnpIVng3JpfddB8hnLzY2S6r
uo69P1Qnz1LkMTR6JJ+N4x3J0KlldlTL1rtS2+ApCUwiqDPrxa+QkfZA+1eAWZ9itfFXXlN85VSe
uo3iH2grprAWx1PC6BrLVvo1mMwl+r3mNKYMq1PbsF2jkjER5SDFlc7aVV1pX2hmobpdNN4EESAk
LU03RsB/OBWz08FsJQl2PYQDFvSeP6D5YB9UXa8Zx262J426DcsL3MjZNGtmkhUzX1EvqCyuVlNu
iyhpDkAKEXDwop1gbljrqjSJdDI48yh5jmJhdiXLqd3oQfKcdDg0GAy4uKzri36g75t0vro2DU9e
QqlbK6nzpik1mbrpVd62d+QWHuvCRoCqKcXlqOCU1iwApzRDt7Nff5E2ZnIrIs9bSfneKMM+TFDq
GvZhDHJnZUfBphzGlcVclns+yTE7mCkMh07Zm2p4SAOmemFresdMMqhPrYK+fEDtGgd/VwZEzUXd
Ni55SDLg6NyHqFUjGw9vLF/8lnSmxgpPNGLJLM84uypNl5JiULqqleycxlzJqnpJKzgnyNhBSH21
7JClJV3TBFsXcemKrs4ZhIjrou6XQRHt7M7YO/3g9ipRu0GDYJPB551MxIkex53VCclL6uQWOiPH
uoCS/bUo1Wtzand2K5d6mq6sBni7CIa9qcRu1HUvgaVvLAp/7fsFucbyXMfZtcy1NyfmN5wm+nvj
jNcGtvdlWhY07qe1EhtuwTNGaQwYDnk2kmq3m0SBqjx9hbRy28/voxpHO+DP5ykfTqlk2BzN85N8
a6e5y0LKOdwUV2k2kO89uhri+8xrlwpzJGCiG3orWxt1a1pEW6se1oo5i9a18NWSLb7iYqvAaotx
1o9FfsoKIVcZuya1gcQXtf5Za0CHdf52oFee5soBkc+anT5DWAAP8eCW/EQ0A4wAkHnDEa7XJO9V
8p577TVZ7byRYjsKi1D67NFE5lFP+lI1uEaD79UjxtyQN3VjrenyMaEero3BuU2iSWO+ATqMlPpN
arAF9xzeQE5JuLrW0km/skUCnh2sUUG5dSCXlgRq59fBTmd0NEzVo1AbOhLyxrKKRxnU135HhE36
lhFAUwqB/Ybtqa2Ha5JB1rU3zilXqwATra8HVzqhH3mnX9Ob+aoqDUcmMfs6F4UQW8XptrJW1iJI
biLizRtTvWP/trA9p2YPXqw8pdvXol3zU7ysHblW9fpC90YuWK78gi9syJgplKSw0e997dv8kX8V
si8IpmNtFORPw8q3g94dMzAeWe1mUtmzWdxNio13yg4WXRWTW0mRCAqvJL1+jAkVszecah7SNntu
AC6Ohb1DsQe6CPBh3lTbTJo7MaR0Mk0Hs0H32FfiIa+ia6LrUDEMNGdavjtn5WfN1m5M3k4bZmt3
BaJ5X2AQ6JT2JgntrRy8E2ebXWakF52nHpneyUXWhus0Gc+kkSAI4ADVy6uocg66OjwV1nz+RQWs
OfLOq6yruqpPWW1egw8UC6nWN+1s/8dvu6iYjxA+eUhM/yJBObzo0adV80I15Y9j3Oy1ytwURcAv
u6ed3bt1P/fyM2QK2V1VjBeqlu8V/MwnxRPeF1BcyU0NmsidtOaiQug19b3bgddUlAgXtXUXNSlK
gh5HPHyRJ/A1NDhjxn1gJEP1zWLnSs7BY1wFO6GpJ9ZbEFBVvOHsvjenWSGd2LE7CfUpMOti7ejx
bVqR4FYO8SbW1XMUy4jmb8ExpdfXjLO3Xmy5vaakq3DK3Q4DIMcCwrhHbc79Jvk8OyNa2kTecDFg
3i8UDGN19NJwcpzZuvwCajRenU3wqr+qAgVKPTuEuGndNKFIQADddhyku44U1FBs/M5eh2JYZXnB
+lOjcvGHaT2k2R5Awb5qCJRD7rOogIow41s0IS2GoFcuMkJ0C4Fug1lapeZMh5vjxEShrorXVs7+
l5ohZDIcOwOBTCoof99taX9inpz7Jd/5Bz52iMxC5ubMLKn+rGNu+qqq2jBTTiJFyBYv8vhaQRDy
64vM5oq/XsRS6SvBStS1T0pSNJjCQgarnAb5pUIM1j4NOfDAZQpR7NdX+tmGly7Ttyt9snnkHqiA
yeNKmrwMDLqLtkqoxi637qP2Ocyt309Gf6tJ/+m3x68J2ym9U/SP3Ph3Cm0m2q30ktw/d8pz0+5L
/zVLXv/9HbFbZrPMZXTjswrXs+xBOGMRnHHlR/2mHcdVEiDk8TfhRJu0+YcYjp/cEcgjDi2gqhiC
WZ9cLLMeUhtFE56hgC9CHUQZIPn4H+7pRzPOx7Hkh4t8Mq3UntKYlsdFIoZPTXWInGD562/tn25j
/uffPZiumZgYgDo9o/+0sDfFME7Qkv76Ip/cEPNv54fb+PT0i3ikkZPW4XkgCRJ7mBOeYfazwD2Z
zMLqkwaV4tdX/NltoUOG3mpa+Iw+K/Zjon1CQBjh2S6vSuG76Els7+u/vwZkR8sgoUNjGvvpq4MZ
oliyq6Izs/0VpBs7y90+ufv1RX721RGp5DBsVXWboPQfn0/eB7YdhkPE83nKrEPASTFiMXC8m6jd
Gx10Ru/q11ec36lPaxBL3J9X/PSwMEJhnFRH9NYDlpr6AfT1PywG6o9PZ6ZdmqptYHxlfkwz77PH
rM4NsIuDmp6jQ7VrdhTPI3jjlXkVXJtutgrX0lXWv76rHy/5+y/p+7v6tN6hpE8H4AvRubNwSjGq
0xwWhXz766v8/LtjLi6onCbBOD8+LWtSLbvBDnb2SnqqSGsBmvz6CvO3//np4IPgbSMee47/+fEK
BcB93AZKdEYjAlRfY7f5HBr+wo+if7iXn31j31/p0wLHiTivmABGZ9V8D+SV6d2U0z8sbz+/BOw/
1YG8AAz1x5sJyROXxuTH5yw7mViUBjr+Wmv9Q6n72U+Il+3bVT49evqeQTP6XCWMXxMFR6iyqgyk
Q60bN2cl3iTmPzyjv9wWBFZmPIZAc0GWivFJIKE5nl2kdp6cm24Ddqu3VuV0/evX4C8v2qdL0Gb7
ftkmdZQvNCiTcw9fR1WICCE79//nErN3Boy9Q5/tx0tEw5AqjCWSc528KtOOmfo/XOAvrzL3gFjF
5HdC4w2D2I8XYOm0iW2a0jP7vLTFABPtQrrqmfP+cSP/KWHnFLu/78re0Al8r/46xJw/9a0lq/5G
DJCKt+obg/Ob0kiFiUJHlkGkiuNN8ob9McREnsQK5EgLD68K2ZMH+8cQk5YsWy8hoN3R6Z21s/9C
avTXIaZps7fSKBQGLWDO0fMv7fvdCbg0jADOeKLK12uhJNmqNgSkq1iXXrmXAg/KouxMgJKmlxUk
HLQ3oDs3pozRzM9ntzAQ5mHIBoKpIgB/bW1cMDQVbjLqZPao5MNZOV2+AW3NlWYgtgAtrOzT0Tc3
dZQ/OpMauXQnXrMSdh55RVdpSBqz1+d4qooO/aZvnxAMEWGQd6D7Cg5fYd4jdJSg31t0i26Walex
riS7Lu3xA3sm57XA3Co2IyKIjfVOjRk24ZvKTDcs4mumue99XN7kM04t7dH9gufdRYMyMNhLEkjp
TnESLWNVTbt2Sv4tnhofDSl6tAvtsh6gGni9cxToXUtdSxBQdVcinu7TtrhzonLPzPGZkJZNVKT8
sVOvcZyPDpigMU305nEq5NvkJEzFwFm6Uuv2ow2TgSgUaKb0rxaBNawdzXuNA52ocpmvvbxe2Up5
zLTiMQqRENtEwrphkFar3hy/TKF2qYYwCnpZXIeBD5kq0ktaUTp9543SZpw+Aq7nIetxywrRC9l6
VUGCIGYa4fQbTTT7VnXWajW9T1KGK9PuiJ2AamJDTFnUNX2HrGVQbKQRlmDZF2DsgIvRyXwoWgQe
tOiXJaSTbtBMZkzvnm2tNK1oXM3zX7CBf21tss7s2MyWjTEhtxZNAtRYO3vVaDHZwzNSRMVVUE0v
EkboQqUr6wYJp6Rq7i1nVg4wpbmPovyqFSkcBqugL51E66lcmwm0vUBHtaZaV0PvPzRZ4SyatN77
nMuXnQIQVFq8rrJGyxrGfrO0x0ls7SQLV2CWgb/6UOvD0iHJgdTs1C/dsrb2Xi+rJSyUYdmY4Qsm
Jd9tuvzFHoBX1gOGklrxpi0jaGPZ4yjBcWZwGNLwKAl1KpaDQfa73/g3tscMdkJNDFsgPTZePri4
34HsDJOC+JjeDqLCfaL0V5YaPGW27i2yIZUrs7YOqaVt8fwC9vAdjDQ1RFBFIx0+QDI0t4qtgvah
SbuQyd1wygdlV9H4WYx9/NpG7UOU6l+KsT9HRktOgZ++s0hdVpoPp66Xl6itxCqSdAy9OusOzlif
9UJ/izA94lQP4OSMX/rIuRy07AbwS+Sm5vSUlA2IS8X01zi1IixkqLUaz3oCKnel+XTyoyh+jyZy
KkfNow3Z266WKBZzGLoYjo+fMfBJmiBCZaUU8QPu/we1wrhodWR/iOgZ3RQtloawxyJHUhbm+hEV
0z2ayL3qdxe0ATFYDyYSRjCpRPm6EAYRriMnihzlqSnHjR3lh7xKmfHbdKUC335saAVhWtOdbVfY
DiZB1Hg9iv8F8gLjpMW5BD5Gb+ftv7L4Maw02OD9oizmqB5fflIW+dS3sjjHAZHLBQbjQ2hLxfxW
FvXfTDQ/0oL5ytnlewWuxAGiGZIWhGroJraN78uimJM60f7Mg0+igv5NWaQKU/Z+PATA5SCUiCw+
qbN1+rQ1j7MiYTQYMRfQzSpYz4muaOGs9rWK2lVnwM0SqRdvFQ9TZaQ6917DkdGraOJSZL80aXKD
qctZaEJbsomAfVKEX1pF7OquPMRK5LuVyZgFoQnsJNiK9A2fe5tklVqjywhTfkceiatP4UlvlF0a
OEcMggu1ogPXelHpduOEvrKW2wyg69STK6I3y6a3cpQQ0zmGd+VC7bvW9OYJdC+lO86uCMxT4WTD
YgzCyvU65CZlGCLBsPYg/MhYfQZg3DLCiK7rKhKLqoRCmJp7On24WCZQF3muHUVhnODNGqxxxn4y
Cwwk7V7W3lvhQEzRqJmjFV8ZA3JYP/OOvYFO1deUJ2Tvq5rh9Qu2knHRxwxR6+o+1MQbYH3GMIVe
ulaS3A228taahODkCfCNWB7HxCeekHvwRHwMp+KFTUO97jx0nz3+ODfQSnOTIYL1hgDck0zvxsI7
1W3/nFoMgmNbOwyy3DQGBB7Gfdmik+pa1v6m9Ah70hi4ztiutleFO04O8lZnPdfovgs2opGIemV0
laWCZNNsAMQzHfpaihVq18cwYIbTaWW0QH15X9bE3qD9ejSnft+jSsGinn7NZXVkYu8fghgnS4CC
N2usVV/jiGTWsq09xlp16d9qSYU0NQhdaTfORW+hACFI8C3z7RvfGzdQwwZiS9KLcU4oaXXlfSCy
ZCK6xIqaB/63bTZnmhidlCvEY/UiiBqaJnPyCREo1iGf81AcO11abDMRbJCVYhOakqrlNrKrjdWV
0EnnXBX+j0e1LVdFzios5uyVjhAWlTCWyIyfjFHdOD5kzEKa+xo8itsAxUQ/nF61c6ZLSbiLMae8
TOQOjAHqcA7yEtJ1RaYw45JoTofRiInRiIuJka0mDmiuGL65EfcX0ZwsE1TjZUXUjCBypsFyRRLs
POMnKbV6CLJGXwYfGgBEzPa1xtgKaYCcZQKicMrr+kM7gC553aAmgAWLrEDzvsb+8O6RWe0GeeJm
c+Pazob72qq+NHFbUmfIYPedDc3mK5U2lkSq7OqWsywGm4GD3UFDEhXlrrlUQcdxcwUmGWwj+hBt
82ZghOTBtHUSG7l9V6cuGJUlqqW1bo0vyIWW7CCfpSdXNE/veNAwtCIFQZdyyMpgE8TKDpU3RD7V
9aNk6SjeFtoRNDS6noMsoOdOF3rRPKhlhdSYrEoNoGYHkmmhh9EB5G7sNjG0uMHe9I5FcnTKA7lv
qmgzDu26lQw/0nYXKoDXY3huI/y1IHQeU+o0G/jg0BWOuoTX6jAjsNrFFGO2LwVcBee17kmoxzs9
DnaxinGU68V4NNpo11czx0QTFYSanmdrLjwUaW1dYU3vTviMlnVk3MJ1ThfOWB1Is0c+ZWYrAxc2
nk00vMO824zFjdl67yWSckSQ6a5BVejWdrdVfTDqSmluDVTMHhb5fQAcCgi2XEjAOoHRHns72xMT
kEFpTQiFkk+JPjN64bLhMKhQfzl2ew6t7kFoxW6edTHdtVegqVj/hgxagpVf663TsD+vToaAuedH
21k4WYTdpWdNt2WeL0qtufK09gIj98IqTebQhL1Mk7a2rGqlK+ouz+FZoT6cWIX1tWM2e5FNa5kZ
netg7CkL8SXxam0e/T9jw8Y+rZk6sm//rM6bct+/Uid5cOTYudOkhGsLkJqAC0fUSeDGhR+tsMo6
wOhMoheD4awnyjpm5sYg4KuuTesshXdoNauaMLE1wCoQYwqahaY4N7a8Q5MasGkzoYKnprMaIi15
jBlLLv2i+xrV7T4YxH3SZjuUHIfAqRHlVeF1yxxWC6uvJCms2lYtLiG8rctouotVtChQVu9ZgVd1
Zl5VioeEUDhPilU9DOWw71M0iXWb2ri3JJaBYK/F7OMH88TEa08oFsu4MULmxbWFZbwcDYbTdXzf
sfvF4KVkaKwnxnxykKtEhND44UGinUDPlgdvRqe3yxGZyZxt/uJgLVcrwE5sF5ALaup6qBhDeHr5
1W6QHDpNfCQqh+VyHLIlE8uHPNKwP2vXRpz1iw5A9BDUrwTaLxvhXCAAP9XWsJs01q/Khv+cmdnd
MCr32KJvkxAgM6zdZZEAG5Bjf+piYErGJG8mRDvIHaP2qmpAF5h4DbdGJryF5XXp4Kaq3gX/QPz5
GOb8uT3Bu2qTD2wLzTLxHc0t+B9P7XVJU2x0dOek3qSLR3PdnUsXNZHrvNxe18f8gnMNUeXhAZHm
MtgCiSMqbhsd/3NA/5/fgbgGX+gvNrjQEOnNtj/Z4vK5b1tcOj+QbGYUoUUPbk6U/G6LS8NPkJ0x
m7y+l68bGmI8B8qNZYC5mYXl37a46PQAxdMUoqUvUB/T0/8XnR+cCz9scXmH2N067G6FRj+JP0X7
8R3CClajloYIMFTCXmcdJcwoDPJ+oLVDj2lJoZz7FaIXyMAhvQuYepDJQjvekW+ZPxL1Vh+ZPcwY
G71kWGIZW3No68s+9oq3ovHSjT0D64PEZmeEuTd0C0fBGZOqynCuq7Q5lVFkPCkCCKjq0b10PU9F
aJ152WWMdPuN1MnrcUhYPFSVRBA/AO8lrfQONr/5hNapumE1bY9NHdg7OjzgaO1WideqOeb3eisa
8qhr7T0ntOnRFEm29c3aWSIoq1865gsIP2h02BXtDzvqq30bdMVVP6cntCS7+KFfLLteNboTE3ej
e81rPzD2KpxWkAVNHrcbdWpa5Z08whm9BfkDhAjn6OpkBwUJgqTHBcjCnJlB0tJ/nRrCsRGFO9jO
EbIbuKXXedJLG4xRV7CFxwmQhHtLyXCihC1H74i9ZbrSemftlN7wZAEueRkV2yS5cWDn5weWeTG2
1njT9Pn0wnkJjDkhd2Lv90RuhT6RVl7R+V94k0LoONP04tXB9G6FwyNJAOvMDy8UG8Nyqlqd25tE
eShF77O6qe24iUcEKD4yqUOcD1DOGmA7C6QkCnyx3g/XddqwBSCwp1igtHow7BA/uaPe6XEZbOHw
Ia+i2UTzqmq2VlRbNzIoKPBK49wVorQuB/YYBHXNdiWtMRmJ1iJ9r6F2flEQjV/oCSqiYkhPkVSB
vzbdsOkUzOu4dcqyWQ5eWHy1ySzdsdnPri1V1jtTYITwJ9VeTg4488GL2R1h8znWShk9qZ7N7HCy
x0MdT/nT1A7KnpeXQ5Y900L8ynuUU9rfZTNvv82H8EYJh+IczKT+DN4iLjnD6DAw1oa6IoMzoOYO
Zg1zdqTD4eOB22qd9u5Y+OYS/cIeev0KpAC7NFAw6nsxpxuUIR0bp6hnD5f83zDhvx68xsL092vx
8b16facv884EvRl3b//3fyv4/KlvKzEKZ3Nub/+Jm/i2Equ/0VCwDEw8NpPD72TROjBzmvA4hujA
fyy831ZiffYYwRFn8dax/QnH+DcrMUi0zyuxJIEc1YYEpqZhTP00B9IVrVebMo5PqiAU4sJpwkK4
YZcaCsSi2CaIwcKA6rZlVF6pcxgICHCIfNthtxNetMlmrNUsA23kPcpKfpBhd6vqRrUXQ5IHj95M
urEa4mRHagK+oRmDA7TCJMdvW2gmQFBgOXk8ngYl6Tgmai8ewySXHLt9AWAnswbAliB32G5vipnB
08rhHhzZm1XY14XOoSrUp2LrD2xEWplvjdq5akD6dHmlrWgY877PvJ+CLumdBwJIMXT8pGIEXzyo
JwkmqE/ZD1ojXWB/ZggNldx2VkFsXUxyiKU9GTNvqM9Hei8zgyjPy27FQD/aFnoKDJseNb5JD6RQ
GTy2MQtEZhbxxo+x602zcU+fLXw0qXHz9bOxL/jw+JUffj9ttv4NswkwCMR8zMEYWM8WQdxd/rXd
YBu0ZgNhPlsJiSM3T+FsL/RVjIYjjsNyth4Gswkxm+2IVglJk5ydeh18uBW72bio4WD0Zitj9mEy
CrC/jB1Gx+bD8xjN9kcMPPpeFhXqq5ROLK0gNSvDC8NWLHXnxKi711ofU5TtWP2ilrqxbFs8XZTQ
Y9C1C+JLwZDEzA4Ip10Y/rQWZnplENLau8OYk9pcxe8Q8R44ox9yASottftNQt/ahcRyrByFdZJA
qiANl2aRXA9BdlFo1ZOmxIeoh6heaumtTgleNYF8NQAOab59SbgbnYygsWP4cSN5Q7re6QQOm0E0
HVVTZPQQ+lVckOiuG533/9g7j+W4sXTrvkrHnaMD9gAY3Ekm0jsyaSRygqATvPd4+ruOqtVFlfv/
mteko7pUqSTTnPOZvddGWR7uuszHcu6j/KM3xkQ2B2/zyOrTV2m4SheVciEtuZabQ4yorTfU37X0
AyeEdLWNZ4TjqtMY4WcwUsZ29AiVt9Cq9jHrFKY5hBmdWzFknqNawKQC0mMICgEGxn9JovEiRO5o
I2JaJqokCFouhrPZ7DdTGPWeOqoE4wyQVGvIa1MJFFxlNcKV2S9RQuurKCUeS830ZzFqLKmm4o6x
HULCicwUP29sUBJIR+BtLXBhuND47I/MD97TgtaPbxcBPxM0ZsQFnUUPMvUI0tXOXnbNlK0KjZEg
okF37fDRZ74WeLlatySBWy1yCgVRNhyw2C6SPelbxf33Y/Of+0P6Rv/8/rhG/UfdRO8fv79C5AN/
XCGa+W8mzkjrnB8z6R83iAy94PTmCHeZjTN5/nWLi+WGG4VJNhcIjMzPyRbGv2kJYB+RF/Afz83f
qOVduoxP02qLyTdTb9ZAliuYmpOw8XMpH+o5ot3O0E91UVWlfVQIjmIT47LIzVTPxRF4cTvdSLxQ
+DS20dDNa22aNBs8NucZ+vf00hWAXIaMDZJl5excMEZ6g97khwzm5t1kUCV1DB2POPGKtxYz517P
huTO1CidzSJ282U72h++HpnbwnT8NWxzyUPGjPMcss12MU2A4qsHZoJuukl0bfDmNCcQthdEpBvR
fNUbgV/P5SjF3ULqHPZfTm9ReaMe6wuiUAm5Czlpsqzz73VKsGtXKml4pzKaDJpNamvVvJvL0GcM
jEcKnppm54HOE3Zqj269p9siJWAanGJ6obvub+tacwZ1wTVlgnJhQHQWomTkYkVV/KDEs5VR4Sa2
zckjB7pMvcASWj2CoKTrjJ3ZE4QL6Qf0+wzoACmy05YQqHOLJKS+dq1DXxr1Cwh+AEJZCD2OvXiD
faTq4a5PUW4Ym0kDuz6FlCYeAJrrrJGCRCUJkryw47cWP96+BJhNVhe+pp1TMf66wnXW1lNt5WTl
hHwwh1PmplOubP45Eb6vr2QB9ucnwvmlfPn9YSAf8+MwwGYncz7YPyEXNFEmfursdSJwOA3QbKhS
tMpe64emg+UVcwCWSRwSJKzZPOpXTYdmEScNT1qWqayc/k49acgj56fjAE0HuzBTlq2uLn5HNmNx
k5kWcOxLWTbsUvWWgajLvVRa04MWVxtf3uADqW5+2b2qnQ8oY6RPGc0DC/KU4EDlQVrSVWs6WTMi
cgtLjU5OGG1rdBFwQyffuVHTgPAnrdMxmKubZHRPg2Edi6zYOIG77WL9EqtMYh08x8s6IG+KS/lO
WEXHbF77UEROijPO2qQ3g5MtM1nZBvsLpwI9RUMouSCbjMRS1aK9KnXn0S6Nm0ZPLxblMWPKvMdo
0KcgDaeNP+Icniz3No2DO5rfZU5GhDdZON+CtFCpEMyPoQji0zx3JXQ7nmey+s2s1LR/MH2psLaZ
kqhrciFrDxlGuGpdIv5w2ZT7TgWvppcDyhadL2kSVkReWbTk6WuA7xqbOwV332y6qkZJj/t6M86o
KmyVQJYBxFWer8agdVEUhF5tptqOmJmDoZLopUHvxWjvEnigYsFP4OYmyEDcQdxVWiTWE73zUoEt
ScBBbXJKi10+oC4oZsb8VmOxqbAR1yQGXrq8XTat/9wEzn1MXCvjfmNrTv4HEjom5JghHFdg/rVi
yJEFQBvF5JgOfVaASabeTw42Fnu0dlkOkdYMyiv17xYvnr0MLbmXmJtqWUSNj0YNDQ5pFkxlY4zy
OSzQOYymVeUT2k106lut5dhGKo16SZmlekZzcJ8kq9CCFgnHOfQUmoF1P6huAoxEzzDt+flOdIq1
DVDYML92kh37JW+0TXDLpkmGjm7Hm5awxGpbN0Hh3zkAfvca+7FAKcoVDDV3z7kPuIUtWs02rVGF
9KLrW1NBgpKxcWvCzlr1Tu45fV4ccrZyjdzOjdDvTPZ16th/LeUCT8zRYydXepHhstxjywfzRV3Z
7P069n+ZXATWbARnuRosimDTsivMMctPvvLYyiUisbHbWK4VRWBebOr4jsPaiuhvcEWygkyaTcxO
MpXLSdVtn2e2lb2aPLhyfZmxxwzkQrOXq81Yq6JVLdedUZiTkZGcwoBcX7kQBU1xytmQtnJVOrAz
jfzoAWxstQyUADEIe1UjKh979qwKXBz2oqxee3awiqY89XIpO7TOyZBrWnQQya1IzGfEu4dGs9/t
uTlMbHZnNryBXPU2hQUwkOVvXmebVK6DS1scjJFUXLkoVvTw2svVMUPTZ92+T5SVOTmHkuWyK7fM
uNuZobB4jnqm8W2S3rLSU5Z6UT+VSguliW01sbE3oYUtFMu9Zwygo1lsK4rYztLD28qdtyq33zVr
8JR1uO26mPmSS5QhbTZ51+XevJcb9CSbn5nCtOsWVRDroEou2lO5cm/ZvXfDvAMo+Ipxk6W8poH/
YU1fRvFdm1qvrlzgdyN0uryyHwOF5b4m1/w1QX0Lg5FPVnEWLtw5HTdNDo35F8fDPzW4yfD7z2/c
u/Ylj5r0pWt+f+/KR/733gXNhuKRCQlUeeSPn0UjDNv5I+rz/+gsP9+7qg063iVDhtHL9zn3j3sX
bBsqFFmcu4Kxxt/Ethk8/8/3rkP0ED8CiSuyT1B/I7dVHMVIakYul46v1HziFCAHDoJMrK9aJCE3
7Gp7jqPUAipV3XTyFpYNdU1n3WtpwWA8O1b03HCs9mmTXyN68VY25Ubsnxy6dDZRXG707YHRA+Og
k2fI+mWO8w83wgJd9HozwGwobi36fyDDMVZQ5h5+mHi62S0YqsYnZtY03g55JUafa686I5ERdH26
HkCPoSqzjTra64lo+SppCtMItXcFurbSiAVbXpWpr+jLnR3Z2aay3b1IaZ/vDb+1aeEJ2exgNjEp
P9Zx1DzF5OJ6XW9kOpMhRjeIDOKDTdIcqXeu1WA/r8l9dBunBoyZ2/28qupArajAhQtEfRhfO5Fx
VqX5F7tkjQnHg9Bvt96Ajn4p/cL37KEab2MnHdZGV5wiX62wTlPwcB2gCSexKXQNoNr9g676jwqR
l62tXHs7W+b9sANIiTywPY6DdXGpyRdOieAw1a9TE70QD0++EWv+ou1OJFwy08c2i1G5pJrSrn2n
7IRGwrJfnZ2g/KYbcOSUYUtwJ/qNbAse6Bi4+TnTx3NX1K9Ecl7dMN3qsXhIyKkPLYyBJBqIkKly
lZZ3aTmTqwRFq1Q3g9Vc6xbH8TjsYmF+ydifo4R/cZ1mn8YDKJDM0Fex+y3XyI1PxdkYutVQOBuz
nHGUNyc/am7AnT3VDbGrWJdLhdhaOzzPRYZLe1oAXD1j0982o/5lHopTj+/XzPIz7+WyjIe1G4bn
2C/OjeEeZgPOS9vuUQZtSqE+k4KzdqL2VEJHCQrMjvKtD2z33qypCDNt44jxqPUkkHaueu5gg0xV
fK6FfluB9Wxn5cEKjR30G97hDnRXku0aqgQHS6nrVx8QT9HapF+QBT0UanhtQ2Xtl9bRMJ213mVn
NUYULCbtOJjjKw1WiycfTGCuHf1+3kMPXtZhewxsVskRG+kx3BUNillnqj9qW7/27nitJym/DHrr
1rbqTSSG8Cx88zRZenapyTTYoSmoWKHohaEBoeH1ssbqgnHwOGh8pDrX3KXAVpcVfi6vbNz3KRjP
GG3BgxooMoLbsWqFN4JE69PU9oyqembww8fPEGQI+Buu3Ql8nP881+lp4OZfO1l3nww+mgIDFZHZ
Niu9mCMs4Pg/jQz4gBLW47LslXylh9oJAvnVBF+/JGaAedLIO85O4iYulU1D0gIunGJboixZKg28
QcQWpzbuNgkgPQupiYr+aMWng3dLRxjpds1NBeB/mZvNgfmkzKxtDhLwaPrJ0aiUjWbIGXR1LnVS
soYqeyvNjDdjVjyu3cEDCsSL1YpbK3V2RRsbXl3AZszl+NWfR4rYuAM3DsNWD+HWxVF5zCISlRPk
AKyAvrY4QheUgsQFZ/O504zTmETvwqAMUxx9i8/XwrgCnT+P+6vI9ccWcz4K1K2jdOmazhdATzSc
4HRNi97kBMBWUS7dMu88vfK7BeiLah1307EAfQzUJ7oQL/bQC6KEw3C8DwTlfKhFi1xBZ+skF1od
bQmVOWFoGtMKZTl+utBFwaIMR4S86SG00Gj8023/0m3/pVj0/NG/vP9Rv/1ZLCoJNexiVJwKDLck
0u3H9A3IOBpNvBD0AXKL8mn6BiKOG91hNqeTGcPDf+23SbtRUU7I7BpsF3+PbGMY/GQ/X/tYKDBO
sELCqsjNKf/8k4WCFLfSsPxoukT5jTHZUvM+DQviaB7GWR8W6kQqnavnR2dOr85kvk5lqixtZdYW
Q5jywY8akI2o/prEvRiqUTAoFq9umJzSzn2cZQL7gH6+C9aVIhBE4+lMS9auTiN0UE7zRtWzI1Zz
dF5+78JYMc6Dip4vJZFrUYnkUbBTWRuFYBQAOUCnkwcwZ31NUkrcaX5VfIJoaaG2Q9U9JFF7U7vm
OXJ8bcONc5clQLGKMTj7fbsvhh49mtIcNIdv9JiD3B8LfufZix2YYU6365xwTa3lIyPN13mofOnK
CCWOtaBAO6fECM4mcaXwRv0V43IM0Rg24qhaVw5YHQMkKjO698KNLk0CcSuIquluJvM66n2wVWVD
rvhI7xsbEU27SawIzC+yQ62nbCbzUQy+zaBfTfc27DivGrTGU0aOW7uIPWfovZQ9oOdOTCUGd14Y
WncnwF+s5tp6ROGFkC6IavMO4RgN+6KzCmzyI/qk+UEbhhk8umNVZHoigA9Xadz29XlENEarieOC
AWIxy3FhdHREv0qaaaPKRPmhF6sONsgiDoLNqKILs2cGlD4ACdMGAA5Z5qOMrVOqNu4Cr/DzbDKp
wfmMct3vHto8f45Aa/jWvjIpES2TlXfXkfRLEo6I822hq8oqTEprQR7ayVVJa0gm48Aq68tkin1W
wjbPrOml0qzqwcxAYmQm3X2P4nbYdfq4GePY30aWbyyUyN9itCUctDIOU5doMAQhSkwKMpA5cx6V
HtSKqJT14OoAmnp8IeyFHH/YzS7SA7UoEfkFpLZTUjECKDcR49qFarNB1H3KM/AECvbDuu4e5zT9
klr6t8LgNaO5+6o6BRG4yQOki6cgq2/GMImWY+tQFc5fm5r0cLUIt/4Y20uihFb52O6zzubTHM9f
e1guuVa9tBNyDks/uHHkaVH5JKKh9XxjSFn15FD36/SeVvEBuD34t85s+NGSA7ClVTlzy7f2U8WG
blF34lSz15xDtI8GaSiwdDbqBAOo654tJ7jqabG2tfwCX+Aylgy2KzHrR5I0wAqLHK0jYHIjWCf5
e8I6ruvJzWwGf1NETJrd1GSwa00IE4Eegv1buAMQ3NZuvs7kVsJh1F8yn3AOS03apYqVSksDJtf9
dC9mBgZjkdpcSvY9FGiy6NWn2QlPcNZuDZ1bGiIiocHuO6y5beaishR2teuJu+4aX+JVxpUf6x9W
bJZ8obR7PsZfgdGHHAvFuY1gdLjGuwvVfwVt8qbw2TZmjSah6DoxwD6XcCq4BZ221hZWMqY3VFHX
JOFcYbRNXGhPAmE2afCYhfs6+u0LRdSNr9VEAdqW7zWD6i+zqXIZaViH0mnMm9lwNspUhGw/+yq+
K3PtzZ8MHZbg/DAXxdGYg1ct1/Zd2k1b9hDKCqXrOWS3LP0pzXpKQcpSyHwUpT2vOri3EIZLSS2q
aOpJY1rQ9lEfWYg4fBMdqmYfWl3bR522C8P2WgcInNXB2InZPI+dcigyfsuIrIGyDdWFNSsm8bWB
F4cZJbdtev9c+d+vfNP8y3Y/+oDL9AetPo/61OqrTMlRu+H4AKTIKu7TlU92hy7DF1nIcZn82uq7
BNJx45M394uwjr/wR6uPo9LVdEJXLTkal4P5v7Fw0+Uv9POdD+Vd2lfYCYLVc39r3Z2NMAv1IkIa
55DN7WdzvBLacxG8cx6ARI4WNUdBJM+EiNPyOMhzotbti+Dg6KoSCltwJc7qmctlqcoTpknCrzmg
G9Z3VyN30FRzFjX2ExhbsFAcUjOHVWvZDbwjzi896B7KMb9nxg4Xw1WBfFYsxQGlPbFu8gD9HayJ
TRbH4hzileSY1E2FypiDM0SI7cqTNJmjbdPBk405ZJFcbwd56pp4tkeO4TjLH2aOZQyNX1l5ZGD6
9G/KkH+pOMATDd6dyZGOcGA9c8RHLpnG/Gab0qU0GFwmrXQERJZKcBVXRMtVwUoRTmgOjo9LpG64
QCaulWrQR76sk72DWUVN5JuHWE0LCCPKFks0kR5kZm87jIyFOe7071eXuA5ld2VGWj+kXG6pvOVE
5ewDrj3cqdhWuQdLdTzBNwX8FtjKyuKybHslXo5cnybXqHClwJuLddLeG67ZgOt2ciy28vIGnp3h
OZF3cloZp5RL2pC3NXTFBwQqMCHkTa6YBMDJu32St7w6TtuYa99xhlVJGdA1vGaBrAyGX6qE5HvJ
QJyqFq58TGobbIXWeIAyOCG6LNV2VzgoFVobjTlLmxhfSaHW9oqVKnaKpkGR/0JeFBOBluRBTyR0
nIvRGCZTdlFYFVPsJUFYVcvSdE9ZVxHgURhveUgMuuKTVmGYCiRgveCfBtUb5uZN+J25dJPqG/pQ
sZj82JtyVC62RoZTYCVXewaXbhv2WQmJA2v1kr8DrBe41a/paD7lzkjVOfZ3ZZeES6qFyDMr6z0u
m2/6NH7MbU1DZqePATszYmaNk9qDgU0a/VATCr2Kh9ZYmVZ/QwpB4BlusjXD+slJrHZtkGu3snzn
aWoRXpcmOcbCHt5xEA2LnLkQnxziHpkqOlhdXbIeA+UcoAn18iDY52P8bo5Ef2R8XnJ63mQ+CLJ6
46K8RZ4SUi+ND6V0OQom+GlIaJmJDydQxRe/BD5p8W8cbfgSzNUt+PLlZILMG5qn3LKYZk/MhRTb
nmV2M2NhighPkfGLwHcXihKSkViPCOkH6kKgXtduKoJdEobSrXOe6xLGU/mNkWRNIdPX6rqakvrt
n3vll1byL8fIl/olD/5AxyH7xR/3CmoNUzN0/jbbMb9rqP97r2jOv2kuuG1QUuAt/HyvGBj1SUVl
tsxo93ua6X/vFUOOpLHpY+I3pJPxb/kOmT7/5l7hVpNCEaQkrg6P5rsv8VMvWQlk0gPQXgRZnBLG
nCbuUiOU76CMlXrI7YbQOUWdumczDveRPz05gTYvS6QChtQMKAPrUhIUUizPlcEgSy2rEt9HxPoD
P1nxCHgZ6QHadGQIuVQkKN/FCdjv6heTTPuPtlP9eq1LCYPVsFvKR3Rt1N3rsINAvWpTouj5hJsE
G9YxY5jJVlyWWoRG+p1L9xmVAqynNUrcav1NIW2aWjFjhxz5/SLUKU4dpjRiSsOFYrBChE8ZLPBt
oReu4b912qWcC/bQKsva4VYz5mPYu5IocjSLdKcF4W6M/HlpiRpmKBvUJQYcxjyNGR45JTZqqdzE
1JLX0ncObRnSJAW0t4HbkE7XFPWSVKxkNQkO17qEF21X3WVsm4uSjA73hEm+JPpeas9hhXFYcPyL
VinRN071t8Ro73CC3aENwCDWp21+o1TM+Q0zWYN2XAelCL+Sqbq0W6TsjZ9BSiMVwijCb+wB46Ve
EtulFw73NUPyycjuFGEN69LhprcrTDc167W84tct4eEidoM7MNvC07U8vPQBwSjA25niW826HZXi
KgZUZkRvNOpULwy3yxelzkgvUk5Eaa6R1aBg60rzocHfRWlMTUK9vGZvHy0YIHAPzjX6Grt8svyO
/bymsPNGQB40y2bCPfapxLv5xZvyr7zLbooob5v//Z+fJUrfQ6pl8SXYMzPIQR/x85CEwPRBTdwm
PutqWK6NdNBfiFh3lgOJEP8hr/2zRpO5zH++RnvqXv+gqpaP+XH6MS3jYMHtgcREhmz/PEhjp4aA
jRPoN5F8LkJol1rXxm/0n7Xbj6ra+bcrg49c/oiVFyO4v1NVw5X+zenHc4D+EzK/AaSYJrEnnydp
aVu36liM6qUFDOK7ubVB3aAcdKUrF3CAyltLkkQw+MEkICxkXRAit2zpkusCLecgGSQRI55jLbkk
5ndCySA2PciS1BnLUz0rjNCZirXOm9YnKk7KYYup2/dmMexc31lHdql6JSB/OuYUTg55u/ZgPgx5
vTXZwd9XQdARQFy+icE5FF35UGvAO5n6R6z7q7d0kmmzjZkvqmHYjoiWkU7I9lal0dVi07xRDLgS
YnBX7fdueFB8EsPokFNa5YmWmdHTm58ROqpPpIoFsq92cpe5UqFc29RJb1zZfWeyD0+NGtvlZNue
HwmTvT95ebk/3WAsAe5BK9/Q0ocW2ynZ47MN+Brpxn1buKWnMAYoE4t5wBw81KDvo6rZdYLqMJu1
Le68d9Incolg3pJidJurmChQYWcMHeLZvdfi0qY5Zh5R6+o9l4++mHkTWrJflqmcXiDgeZnkPKNh
sIH9BaNpiW2uIl1gMNUbR05BQj+6jchzWijZQHLcNKk18FOYzJRIKqWSM0eHXtZORtxcO0F9Nloq
7qQ6a0hnBTMhUuTPZYr2DmdKpSj4b3JXJwfQ5ZIijLWoAW7mjXNx9XLapLnDHEXEO1TV7ilo6g+9
QsriznZwq3QJlNDIenP1PjlXk/4tZUZDNq1APBTGcnLJ5bTM85p9RmIF8EBIlMoh5u9J1b1AYWEB
kTqXQSmIHhZYWoKp+JYlbDUajWCMWj/j/8iXHbsVeJskJGrECpNApGziEZZir3XPogwfkwRiVg2X
tyJyxgOqz+sW8OKmuWR4N/OjTafAsOY1Iy2PNQmgnVy51Zzymxli1QxHREijs8wTUS/VtmaskVa7
UmT7EVayGRiXSUsuptGNSzdFQqQW8Rd18B+sTGm2LdhjMoTtBwTHFj+2Tqis3rB/6RhrVURHdap6
zaZ2rw7RpkriaxQFK9GlT4Nav1puXSy1hHHr1EA2J+XJq8VQLwo1PwEKYpJiKvs+NcyNUNF3d+6U
UKjbR7XS3hwdNnDTTl/I9MJzppXrElowS9e58qax3yX+rLIPVM9DOryGkngjJPsmF1HFGJvkLaBE
Ln5UASYnlrwcB3BOqw5ru6azVSRTh/lvsUyg+Y2StzNJ8k4+We9SujPAfV9kwHkqv9aXkeT1JLq+
iQH4OIB84AU8aIB9NKW55eej5DC5c0H/1CMMIH5gL5j7wXNxzTuSE9TN6pUp2vMkCUJ4vHBGSKqQ
kkzKrpCkoZzGsE+qOxPnWAiKyJFMojJjnYZVHlKRL5lFs6QXMRhe1X7FeFySjTIQR7EKXslBCkyg
RzMvlAISUiaZSJOkIyHHvyAVQvUryUkg1ZldB6zGqYWZNqtvjuQs/dNnfO8zZATCn9+zBOD+69hF
zb8ur1FT/kEkg3z4jyuXpCJGRSybXKoe15GDpE+DLHbWKtegq5JxpBq/DrJIKmKU4AAyYX6ErPvT
IMv8N65NHobAVPLBuMP/xiDrt+2GBV7M4X+Af6lE08osic8Xbg3dpOHKDy4BhSpteWT+vyi4OF5/
utRllC8EFf4iqg6NHAmHF+fzc2RaobplOo3nILF3edjBGdCJ1l3b2XgajVEMYD2nZjOTp7oSSola
S2sd604nfRpQFaveEwwqt9nlKCpOXU2QPKN4Q1QnIRQwx2bTwURQsfLMzNnVVVEOarlNwPCvasVU
N+NYzZu6IHd9ANa7qUOzWjXFEG8MgQQs78VNjEocsCxK+Y5gmk2EYE5fBaywlU2eDXNxl9dz+C1j
erM2NJqPeOk0LF2QXJt6zFHK/1tpbMS1VWhmqnEHfiqJl2U1VrftyE8RgXyfFc3Cthl+NUoN132I
PJH0XdAXyc7oq01vi+PQCW1ht8oZI+qjlRj3ldvc1aQBB3n/KCzIJY6oGKJF5rGqySs1q2MYcp/B
XdxRQkReMIoDiecLR+U06YOCHc0Ii4ph5FxM+9pSn8o4BkmeSjFJUV3qSMRbXDbHblRfQ5EQ+VQS
SGD6iH6cVPsIUw6SyXVXU8H4BUUsg3nTyGg+Rogrhj8fCEQ/9L6yGQk/bxXKJrRNtYcZjLIHRsYQ
nbLBMla+YRLTFpabea53PoQBqpJ0E+Ov98DY7+pZ5hU22i5vRiqXMLsr6vYQon1ZKJMq3qY+aZZT
HQxLCtT1WPJRJft4RYIiUnoknRnGorGsYM3kKCaYuSAswA/mOD1BBrF1Z5kTEqqRpHrGfLDEfFcH
EmeyX5naUyV6GaNT7/pkZMKYqh+m6N5p8JxNnYrsYLiICRYhuTa3Ze5knjaakcVdxzLVxpTsJrG2
QSH6BmxkNwvl3Gr2A4oVOVUSUnNCao7Dxa8d2aDd9jnrilj34tpfNRriB4FCeEj1jTO0YEIMXngr
J7pK7b9osrwqqTVQOj5jTTgVamssonrcW6l6M/OX9lp+yljyzKa2wQjxojfIqpVxV5jz0fCVrWs/
jv5z4cx7jGvO2iJppLath4q9c9ijnKEq61qnPZhZcrT06SbwY21poPyixnGfWDs9SdUcjg3t6JpM
0QbzgrWXOIxwGc4d2BzQa0Qm3jtj82AmPSrnZPSsMLgxe2lfilDNZH3EeDPZYbbg6uy1x1IJ78Gr
PCilTNfkjpbCKXvcV66yH0cCUZpY7KvY3aQi7RaOjd2r0Lqd2Znt1RziPb/fwYrVZ6NDtjYZKc6r
AjyTTkzzGZVzsh2VTH8qcFV/bZwCfcw4Tf5D1vrJdfSZnY9jqq1MQk1YdrZkFikJ4HeSabCwTdQ5
usJYlK8FTBQrOnfmjDMwrXufkOJSyG8YUAZmxi5JYk7lO68zY3yEXOJRaXSx6htx9qHzr/y07Bet
6TZ8mMlQ6acuPWCnJhVVt66tCmDYqIbKC4hUWWhafOiL6S4rk2FBGgpyo7Jhe+iaX4W4i3nnvapT
EHGNTb53jFSc/DLkxZ7hoaD0ezXB0rKUnUK+ci7vkXWvkjfA6zjhf5yCY5yR1z0l/m3SFq/d6C5j
hrxOjCQBLd+d9FYaRvkMCYChR7zt4/abXQ+X1JpjyFAUoKxPn/S4W+NQeS4mZdE5DYN/jdLKH0CJ
tg1gxVi6qn3Lm7D4x6TLxpX+Dnxp3JSV5cV5/9Qb/sYi9ooim5VHa67Lmrc5ocvx7S9a3jxaXf7F
0gqktWN8N6bTMXeHbVtpfMGH+EsQTrto4Cs6Ap8HKxBkPsbCVFzbdr5AyXsaQ+tcxObSMXvi8GpU
ESAw7Llf9yYis5HOgndjlYvkGc4NFuxYbHB5IipKiWRvnWgXNCNTYQO8dGyJO8YnvIIpBr8gt+9Z
6e9bQyCwj1TidcND5cOnVBB7RNHcbos4+GKRm7Aw1HprgSPhuPGUbjwZOb99FtpHp7O3dRLstdZ6
ckuIX6QAlMiMcCtvkwx5NaMiYDrJCwJSj/zRbZdi9Ks6/0Vtkz2vtRfNI5td3d2b3XTblCo/ptns
Y1XZ1pZ49tVy10/pwmz7O9+0PVZq87oZEXplJIqp5vgN7qMlQzWfVRNdlj5HJ9dKAWBV91nezmjn
ii2BRxVZfdl0hGjhxbp+BAXzLPzioNZEBLM1aIHNqNqiMM3hhnEAFKM6MFaJU3/N1TBYK6pzUak9
acOrSurIEVyHY7ZmsfAWpWg4gIQrX4dS8HmZtXQ1qaW/MMwofSeSyfZ0IwvpDif9NGDO/fapPvv/
GT65UuKrC6oQeFO/I8kTHK5RyfvKOY4fEMQk7qtp/d351m+eQlZanwa3E59ikXQ8hVox3rQvXXkZ
45u//jXk+ONX6ouspL4rlaXUCAMRkLyfn0PXuwm1ehRcVJJ5HKioKFfHe/KU/vppfpYx//I0eJvY
khq40mET//w0QRGTS5T0waXL0OMCZ2vIqFSqh868GejXRQNf0vol++GfkZ3Eh/9VK/FGQhHsgj/q
Injkjy5CDu5YS/Be6DYfYen4+tRFOLxN1o8/4VG/Os5AVCNDl5bQ/xBofh3cqZpcgHDG8I34m4O7
P1iH27bDfJBGRyW/Bmfrzx8ZI+7zhpii4TKChlmaKOLWUI/iVRlLhdPYovxJGoMJjtk/DXF2KDme
mAU49oIwsWjpT0Hj+bmjkfAmVviXOA+n3F4KNVIOaju/WL4+n4kK/gCsBwk3JoOrTP07ygBxynt2
CVNvVOty7Kszc89VHISPSMVXg5qT9eM6e8It96iTv1HjPQ5htrfN5FKltWdr+hZpZ8yVgMw8yoyS
coBbh3zs1EOtRYa524UIP8VHbDMHFMpz0isfwAFJ6/GZDo4D4ihwmO8VQGPStCkAVfYRGPol5BDT
GOL51ykkX0YOPJep3ZMtR/qdx1rwMcyKW10wRikYLNmT2S2rjtKCHqQLTkG0E6VxrRpxMlL/YyaO
cspvhFYOHlb+c+6K9TzGX7IKyzsTjzC37nsLDqwaf5sCqfBJ9VuHVLmFw1Bi1QcN9qCW8KaO3Jcu
DdP12KbMzVyjYlZD/RG0ltcy7NxSzcZLg4nXSs1JhJypJ5dZxJap8WN3pbSi8ai86bBQUGVAjsEQ
xFdLS3V8uijU4gnbgRZZvWcVinGqKxYP0Mz6ZcIAdz8r9bVoRi4rpVA3WG3AtmiRVxtttAYsZ207
n+HQYx4odnDSmzn7EjcWG6aUBQsvXz8vR0MA7xqjYZVbzrfGDbdjCKOnrZOlkZGpDWC3bdznWuJc
s7SwsRdoGKUiU/PX1AraxaYtWjazyyCXIeu6NJG/Z7MePeAqe6yJB2Qk7D4n0Zgtrf7/2Duv3TaW
NW3fysI+b6Nz+IE9wDBTOTqdNGiZ7pxzX/08RUletkR7xkMBwx9Y3AeDWbKKZKmr6qv3e0MeXHY6
FbuUN3TFBvvOSbu1hv91XrrNMuYgW5WKci81rjLDKokIThenzLbDOQJQp5hYlZpeVilkRGT+E61q
z3t/yO54AlA16ljShEXcX6UDAJbddPmdV7RfKmI3Tq1IbSH4+dtc8Yky0gd5HjjKhYRbBjpMnPwT
yVCmllM3q7Jxy5VamvFtYRYxKXFWehepxNrmSuCjoMvvMht30NqUJmODUNkLjBUGQpT/LnSIEN0E
SYfDZUeC3lTSoJknEdluRqB2pzXOOoshcM2TepA3vZtPC797D4k1R3MoDxgn5+HM0x3yeXtdWkuS
A2si7OjRj4U7C+w6XfZ5Fj1E4AyruOmwQYKlEXV+v2qR0M3L2hlRoqCBm5AaWV53muKe+Z5mn9vt
cFGhioYyJw3Y4QWszKQtF71s48esptW5ZOOBWuEhCDGlH+e7bfif80h0nH93HqV/TbZluim/7g0b
Fb/9fCYpOuop0fURYUAG6Q9/n0l02RFC0RNHA82p8DOyRRoJ1jm0el42k7R3HHA0CekSClUWA/4B
soVd/k/VkkEXFrK0YVqGwqmEl/ALbMvpDQlnS82/kCIs/gyh1bfZ19em0O+3Oyl/XdRlSTMaOscU
ziHHjtsVVXg/hBG0Yu5e8kUqvAHSIveAUkzhGdDv7AMaqAR4CXiASzgL9DHW97hhPboOaDuGUGQJ
OwKwvxJvgnpnVGDXdTcpDdSMSA0seDSjN4Z3SRa39+yooTqNI5koSTKBCU8JQ3+R5zHXMtoZK9xJ
oIEZjfU+VVqpmQygUe9zSJ7oEo18HKZ6yl6E3AMHyAjvxSstavNPWoLzlWTk+Gg6CmiJ0sYu+5/i
2ZPYDoNzZL2kASbumHhTOzDdqZOp4GxyMk20sDmXJSu5sMy0vUkgD8xLUlD1aWClLWws1+AUKezP
KhYwIwxvJxsnLdzZfmLZgYFvKilpN5JiZyN2+kmwiktrfEhUSRi46kOVTgcZZaZKL8AIWf10JaJs
bbdavTQ4jqRqBnDefqoDdtd5BLGdVHESPVM0Tz5ODbgutKPgonfaODp40dv8syEvvaVFuXBdlW34
WXPS6tqxKmsRxqbCEQJH4C7p8gtHq3L4rRKzeZVKXkufrRJ8Mc/NmmLtq0rjXtqBGn6KIDvc9Q7s
U29iNmieu1QO4pWspbUF8oRZ/LrAs6U/SSwySLf0BL2tQ4d12dSau4gDH0e6wFEpoKUKMEQqrVlk
B9VHH1VReUnLypnC6p38s3M9gvJQCn6/c82CrbevkOYXv29a5jvZVoDUH30WhCjkuZBm0+JiZePG
aDwB698LaRzJZfYQixKX3E/h9/Wd/6NiVo63C4wdctF2u+CfbFp7+D+6hkcEIhOdJWnJvNOP18iA
VV/5ca2dKxgd+jDXCqxWpo1pRCdJwMOL4qMdLeyjdDlX+5mfDuNtgwzS81PvTGtCaxP56VSr0YHL
xefQihXlqlMqTBzClmbypGpT5zKhuXbiaU0crIt6UO/IbZaMtVLJRLY7Dv6xiau5J9Fgyrg14xSm
3AYWzPVTtqu4enBSz+zOSy0vjWvBlmvNNN7C3w5mWYpvIXJsuwmXsvAocXZ2JXUx1Gs9Vivqj9GP
CBIXBKZRt0AgrcKXT1VBcCoLcD96rJgv+JgDTsuirOeNPASnRj3oZ6475piTEwm6aapUiLEKF+2L
pePCCoOkufJVes5D+tmKvAckk8kcTh8cUNPY5nWyheypUHknhf6V4MepLdOkLrxunY6ysagjqSFD
yDMnrSpzHemiRsEwoQP0Dmr7gyJRfDio8x76wGxXlZaqa5/M9jMpUpNVpJTWBTQinGPzvFhCZ8ym
JcUN3mVpDwqd+zChcLl2WvecP24+MwGnq65y6W0kp3ZD29VwSwvxoTGuI527TKASe6rjgY1emKAG
DwKkNtghTCcoPlYazXLb2do6ILPdjqtYQTUEiWs5uB1u2RWqNc8tQZX0/qOIj59F3diSsGEsM8Wh
Q1n34DJldxFpCPNk9G90MIx+VhoEU4dSrl7idxHdQiTTblLTTLehrJcnSRGkH8IW0iIew8SptuGj
o+0/9ZYGevL7Xesk2xTEWrJHvbAwFL/6vG+pmL/SUJDxdxLXduFT+LxvgQ0YtgmEbnG0kAz0Ax/e
fkdzkdVL8SM/seifAQB4kABhj4MBLPxRuLtmCeTpb2SKzZHenqObJtd/7GgwR/x52yIxMiG6eygv
B6KxEdOojYJ+NiX1BmcPP70MdPMcMRAyW/S2nN8GUuAIprwn32iufhOVzTaDqgg+768JVT71Ue+2
WnNGL34qoeqNUffaqHxHFXldi+53yLUzOQb01FAEI8lfuNAJKpTCYNTXXJvurQFEmSecECPWij3B
6Qm7kRSf2GzmSxIHOhpkw/bf498JkVu+HqL4ohlQ7KJZ7sU13TH7M5MUeaNUpl3g3RtgxRLfaB6X
3RcH/bPrRAtYFp81j00QfXTqmnjbOKetXtAH8C8cLOC53kzpfF006Ku1rIA3oH5AV7DyFeXC4XIu
wR8JlfCCQN5523BNRK/tyy2pDdWV7zfnXjdMW6HrRt8N+E92Cw6FzreqdISzIkJwv2lORpThLknF
0IA+hGG7lrC5bY3qxvfGpRSGswRluZmXt0M1wF/ug0sP7Tm+kjMFLbpRJasRbXpi119SteeGmV5g
oXXWomEn+PokKYdVU2APQ6vGCvMLyu356ApLcv3GEmJ4G1V8LeTxetydR0IwrwwFIHm00TL9xkFR
70NUReoNKIrW3lOT2ei1dP1S6EHSTej0awVtvi78/NDqm6lgCqHed6NeRwMnF1MrKc7xTie7Xoj9
4wHCVob+39oZART90hbWAF6ff1BVdtsE1wDsWAH+y52XQDU4HWfOzmMAmzJ/XWfYllzq44hxX6ib
qbYknxOvEqXjry8QCQFNZEUDnZs4pSir85OUhO9pJaAMJRbyZGNsZ+2A0WLco2vgRFQRmo3hjaqo
WJvh8opj3ypMIcRgckTstYBPUnVEmy8gFehTMGkFzNIIwMVtMTCswGACfShmqJbgfWpmtBgFVJPl
hQoxtbrHDAhbQrMZSPpRrwN7yGdj+K0TkI8jqXcSGFBmazPu5pejaix0MCKsHju2/3YKs3eLkcu5
TViEhO9aeF4KoIl/C+QEd3+igUIFAo3KkvedgKdyId93BWSFDo4eWa5/8byarosAtvIKWkoFCS8o
Ww/foPCrQ8MD6XWTTFsBjUWqvfVy53M6qPeE0235/D4Yg0wbVwBrpAh4GE0Cthkp8DK+TwFdLwXa
aznT7OCyBaHDl+W93g/fGks+CUHw9MwPFr3UzAOwvWBU504SFxececUiEQCgKqDADEwwzX2yGrHZ
QSjfarNGp3vRKenHDju3WVUkX6XMRgLfQ8axfC9dhFG/diXa0bKDUnVsP0HYQyxY95eBbH0RndIe
nv6k7BOeW8sEHCKz3MLIwbMpl9RCxa0xHqeFpi7dTP1YFwGYmWrh94QLk9dUk8YMPg4eilVH0h8C
tyCEg2BMwMwvUlPOaBwO096VZ0XqftCAf+AnVQzQAKNinQ/CqU71uiSXoczv/E5LZnJI7m5v8nfv
XfejJiIL3Ny1eL60BdZdaI2djiUaRAMGRSzLsrMrPp72LZGRe7auJ6StJSq3oMPvr1jTxTL5bO0J
krzLPsFsc4A9icHEuvNlxHbt+1SWT3AsHrHRgeIdSINgg/VnkS/fdl59aqT+nTJYMvlv5iwtQ4K2
9E6bmb10FmB+hJlfdA/tAmFdkluzGM5ec+v7UbooOzy1p1Lm6pMWUS02Aa2/1kEC/bjVJ6lsS0sZ
Wgi4J83OtEqyRd+oyKQH6s6KUkjp4+uAELd/aE1PrvZAIL+tRerNX9N4s1ebx69+r0WUd3CZFJG+
KmzohVDiey2i8iOVdgK6OIzxfrS/EwWHbmqUCjoU310F81yLmFCaIEA5JhyoR1ryH9yhdOUVixjK
FGacdDWwPKdaEv2tH1pxluIpcVwaGcHbiASg0QuZvFgzPTJitfeUdedGi1gb1mmSAttwJnxKHOsE
tsLCdmpIINmFBRIQGtLlKLlzmaNpGuO7ehYHFsd1UL4fZP2j7cAVtiuBsEv1vB2iO7N0Mb2rR3Y0
Dy5uFlrXvYeGlYj7MJfnMax4GE0GJCUFn1l809oZ9UG79GHrTSPDTnnmax9TPWc+hmU+UTyEYCjC
RjeD6CDsbBsTY1u0XAjPcRgbBrhIxDYaM18Y4batfN8KZ9xwmHfCKrd2dGRxO/vc0ngw+Z5QDRm3
ECa7TQtYzzaIejENHxy6JPNBmPI2CV3/GJ/eMdXddSyseynu5lmKIR9ysvjUEC4YrvDDIN8inepl
eM89hY64cM0ovfCSPsNUuAFPulFf1GZzBwPKBNsq7gXTLC+UDi1Yd6b36P414c+BwUczS4VnB+zg
YuqIrkVUNOc5kYCo2bN4MbYSiLtxYmD+kWAC4oQcGRAQjMnYKStLOIUMWIa0nM1eOl6MwkukEa4i
TVh+jEXqSJMJf7L8DNclvOuEF4kH2VYS7iSZ8CmphGNJLrxLYtVEYWdeR8LVRBP+JurozQsomgsI
vg+F8EDhiEfk3c11zFEyOcEXLrhU4uZUE+4pCTYqGOMPvGl1VQRmPbGF14oMD2Su05WvINNU2LEU
KAstw6eIdDK8ZIRnS6SkswgTlzKUriLh6jICAEwM4fTS2OYNHe5zuHTZvBzaHto5vjDqziFGeMXE
wjUmjGQL3yToRV4FdIWzTBum557ufh4KPGdiyV56MP5mRi2/17GlISbSmikxuj/hWGNjXePB91Gw
shmxtCmwtoHIm0Oxwu3Grcy1V1CdUb+f1U11GWRVIV1nmRWPW3IaopXFGelE+XuMZsgoI7WnElVH
2kT5SVg7n7JIvqmN8qudD1zvkauM3sJLscSpOkzPkYTK6mkW+xdBlp30YXWREvDbplB08E6k2eI2
3dp0jW/QrBpcZDroxEHjWmAhaTvequZ47hVltVRIPiO+wcAwXDN5X31JXbHscLWb4y6w6kbtqjQ+
VRJtvqRx7lNHmeAbeVqqJS5XtcGpp5EyOl41I9YzLYfkYDTXbHYcpPVMxTgO7gcSGrdwr7SqPgMc
h5QHjyprghtLsUQz83bMEUCZJSwpvw9gT5Q4yemJlZKepWgLdDjBQovMJVIcb1VAjoBf4ZPcNcSQ
BBuenDSntkwVVYeQn1zZvfTR0tNvWSl/TWw1miKFej8C+BhKRFO1yPWZofko2UvXmlCjf7HBZ89w
/DwPenw5Blm+IjuMxWAVymWnxVsNh8q5PHbbppKwGzf7G1Sk+VpL28+QcBYEsX4cAot8zmLhVIk/
S3rWi61X+rJvvA8pkChlJa0ze6CeyCBflldOgGG6SR5nhUzWKNyLEGuBWWBGqwyLyxMApnubup13
bqeoTe4UHPuXvkH8xFgo+Tzvw35eSOp5zzK4sjLnxhiqVR/rwTSN22RixepEzUNF5EHiBWzVM74r
3J2oQr8aFBu/QAFcD0imCJGbAzt/85yHAC11VWs3EXPCOaDAkcaLHRnFFf3ghexL/BXbCK8wF9VA
O3YgP224REDLVSqMnclQ46vIcLaNI4BhIE8zvAv0ABFocNCe6pKCkNpThpWh9jeCEK4kOT0BRCmz
xiZFqy+g/sGSWaNpmboS4C/GHGCPIOfWZ7kagzXb8cTrKY08Aqokv7hVA3dpYsHApdFs8DKBvOV4
1UOk4m4pVdoSmAacvShQMFDDcd+5bYz+TJcrMnS1YtngZ2lE+QU8snidK92lV/c38pDNJVcboOJY
p1nhrPCA7O78cWgWXaNuI4faHaPya7hKhAnGmAr/g0jvEGkdGOQ39ZS/qerNa1hH/NYPpRTqKZqo
7Buys7Mv+l5KaZgMU8dA3JCxFBRarSdeh668g7tBaWNjNgS7Q2bAp1KKjCCVDccUXsIyOq8/w3WM
nY3BT7gOUixGIYTeAEaCw/5zKaWKN8/jIsbt1wpRcXCdUfTuPXRlnE8L6TL3ITPyIJ9HMTqKcsBu
c/BwZMXGmqu0vWVPhGqGM1yUkrynFPZs0BwSwrxxwmV1ZcfNwqzdedIrq45DK8GFd9LBFcP74VNl
IKYJOs5guHlVzxq3wvOhbrYYw807kAIigjn2lfy86PUHepHwHZ2AHjseiVKQNKswL1el4xBU6BGK
aCxGFUtRjfg9xWjPTDW7t7r2olP9BnKxHiz9Ud3ECLJVWf4IBGMsLNdtoHEnw7LEhQXtP2Rb3axO
gJXahe3mWInAstXCeeSHt9gj5XATqAnaHMUU5v2Tys4XOAHixcKHO9UssCxcBcYZKWcpqifr0tHi
r2oAL3pQjYjAHjZzaXDvyjj7FucE9sppJ3HvCc8jHRVuABA8T9s8nvq5RQRwT46mNdhzXBWwdKjh
UnfxPcerBFqL6aKdkabMTTa1nRNahtzTjfrcSdW7grOUovg66ANp3giKK6wyLlr2N3KZOtxc02vC
HxL0c86nMFTwQswJsnMzUgpiLZkOpnY3JsGnKC1mXcypEtg4P2hBcEYlfhoW8jc8LcwVbjM6KXLN
MPcrk86jq103tf/BD/n8HvaYYH+0Bs1cp6aF9Jqnmj5PKmDAMAK/imedhzNvUCFhrRUq0ID3kfsK
iwInnWQpoSZDctOXGBtnNmlLo9YsPc+KJkWKGVA9YPPUhfxejGcCu3KkL5OsucwyG5apy9+9ohhU
+oIkh/yT0gRnBLedlYETrCVPgTpucnTpasreWw0EpkgaHjJ1vnS17ILWw1lBg3MdS1xBvSq4kMPs
E8kswaKIhd9PUM56PZ2i8UOR2KLJU+J2VSjylapW09zoRMeAbofXrKs0v2+kdplV6bmfZQvd7HHX
SQJIR1XrzHWhoDJjn0uG3H6EuLqtWtDQsF/iZzfAqy1QKJrZpTzwrQbrKis6AlWc9taO4kUtnxTj
Rd2eu4QKDrKz9vr0UjHSK7V1V7B7L6UGbnc7tEuVbtOkaSgwM3+k1OXKZIYx2FcSuFMkgS7XBRwf
UgZNEyOfQkZLqNMbc5bI7TecFKJZn2i4VORiqUbVlx4UACtKwMK+WWdkL1EHO85SSY21r0CJHV2d
U48U0GCCtLFfwun25kavudPM8nGelGwqJBjkXu/jOEaKEwCPTiYstOHGj75mWvuRpvsDYVrhHL0T
HhtadzU0XBXoggCf1MQhsh212hRWsVqeEqtVn7L3FJiUoVsM+gJELU3qtZEmobnQoHYb9zgw2/bS
hyO2bHSgNa8rUmXSW0QKQszBF3xup5IOX6qle7cCWh9wAdXgGF1IaTI0t46cKPVt55SSdtr0TXba
GWnsfyxHXW0vozpfZR71Rx4O8TzTI52oRsObFPK4UUrvpnI17LKj/kTX02ZRSiWQpmSeGiSLzLjg
6pMmNh+Io6wQNpiYRIf6x0gy7alP6Alm3KN5omU8zFGK1wr/HEGYkX3OXX3jhyXhhnaYTLSx+Aay
SO3lZzIFM3FBsoyXQFnD9xmi/nzIq1kfOOGC68e5npbXktucJnb2mQr42yhp064H9qm4uFIcExlU
af0JtGxD7iBtW/kmiBCkB243qVUD4wKTbAnYDreyGl64lXMmhcOn2Fe/jYrMKJ7xLWoTcKVgJo0n
WIWEM91AKuGVN5G4pMu+TCtg1sensW+dy1FMiEWfbTpvXPsa6eto6hDBBSOZQWpyYVrRiOON481l
SboGulBnnWWMMAia81EeTh2jd6fMQr6yUm4dFUqKJWk07O3Q5CwnsDCAo5MAP/iujmaj4X1QS3qV
th66tAoISrIjp+PNAeEcbPK00QEVheg402gLTDu7zy6TPsfLNuvOchuOHcoTIEjFugy69JxaD5og
Jt8O6pQqqVZeU29MpxvmiE1vB1RAc+gX8dx1OECMsLl3m6aaNfjsgEOchFLEZ2zGj03h+AtWnc4z
AO+JbrU0LbN6WznOPRv0Qs7jsyjxa5yBtJUWZvfQ1pdSQIwq1tzrotOuWsBsx8i+BBx0E1rPF7qM
+MNg3bXc9OnKKCW2Y+Xak1qOhLrzJqoBUOlH0doxMO5pPaKubbVYVkbQTQO9uoyC5opKZJGq9fs2
Ab8l+w3yp8oD2Oj9PJJxoYCGWnAndK2l5PFTi/Ie55p2mUqSsjS59azJxXOmNL0v5bwKoTXXJw1K
W7zUuDVU/X2cZjIKJA5BtiwsXUdvKXXKaQwBckr0GuAKK42kOhVuJLbmUkUbqU5lErJUzBVbIgUR
ihTuNLS0ta4HV34TvpfkDMJ6CuDCJscGZ3SrMVFZEoZ9pdK8BbUHaDWz/iHNvA+aUUDhsx5GXXvo
TXmRV+bHLPI+Qn4zZzUZBW6Sf5Qze6Xp5W1nq6daKCGkGSJEwQSglt3Go03eWKTDRfTdm+AaHzJg
2lq+TXWxiUsGnY3S/6fsfoIxYZr9puzO4k26hwWi81s/lN2kbuIvYJnPfdHvZbf6DgcjG/6FCQkD
eeT3sluzoXo4hFaxw8vYFIhG6zOCab+TNZYMjmU6LBENlecfIJhoQymrfyq7YZoIIhy9W/zKYYL9
XHbrdhKWrKPh0q698go8L7kJlNz6mMW6ejJ0UfRpUGprYdetfM7F3eXy2vozylok4k5X3/pyFiO2
U4JTeA/u3JLqkh5U4aNaki9i4Z/fCqKlISiX0AD4/daWCRQTlEw5y/uVRNHYqyN8kdqvV0quRXQu
ZByUUqz55QF5SgmF+3Pi+95JVmAwpkt1OFMFJbSy7ZyCenjvqMUUf9PN4CbWSSOIpHUmdaepIJeW
WddPcUh1p30sX0aCgtoERJE5ZhFNfPipmokxceZoNULJcBR7ahhuc8wF9es6RUsyjp7oRn7ye88F
H22ngcCYSMaY9mEardXRwWlat9QrT/E+ytGA5Z9WLvQ8vTayAiqtXEvL2vTGk9FrtBPfJxo6BttU
JIwQgpqka5gR+jKKU33e4pi6MpXWnnBmRydFkncTN2uvx5JMhzxGcU12BXJsA/5ERGtJ9ZyLUKOg
bwdmR2oIMQ3w1yHRQFEuq0rlDmR1+brwqxO6wp8xfIPMi5nMBEJlOFeIHPG9YqynUGr8OVtdOYtF
NolLSEmoS9ivYkXQE1+S7HJMRKJJK7JNekJO6CbTSJI9lD8GCSgdl66ISBRT43Jvedok6vul2sbv
VZy3nDNdJKmURKoQ13GVEbEiexX2mmxoOVgv/jMG9Bxj7opcFlMktNCV8cjNoAi00uS00pStYZDn
UpndbetDj6s40YTXJqhVIl8Sqb5KiYNpiYUJe+ccXe7SF3kxo0iOMV0TwwvwIiJlkjGoJyYhM46O
U9AoYmcowfJIuqfPQCAswTQYlfETomoStfyidWiiHOzzEfYvcWq4L0S6DexkfZKJxJt6F81QRKBL
UzQuzYNuC1GYZiAVdLP+zOkIgZ1bSRCdKWbBsd4MHLVEz2kIAsr+zDPVYP3/CwbyRMGZberNfEcw
uW625XCzrZq4rp53KfHTnXPPXfa/+0e/H+iJ2nI35Nt//2vzNQnSWVDVZfBQAyi8pL0I8shP2/vu
g+0+9W/HiTewsZqvvINGWBtlHk0mBcmUeP3rrzgjz/bxx5KCKB+IRMOyS0Qk7X7OO/4wU7+ai99/
zcdJ/f2/+fVX+HEm2Hn5zH88C3zNvyfBeqcaUHKYA3n34iR7NQkKqiGYysczCXueB9G/++OZYJyf
pgJmFAQ27I12L7C0n6aCQC8DszUeGH7yf/8kvJoEofx7g0ngDAdHxMxp94JC9nISVER/+KUf5RwY
sshTOfBBILhXU0zDYAd4fL2YAzYGWLz8T3kkG/8fbwmvHgQm4fDd0WbzQxghIud2r5erQUwCL8Ow
HrUiRzgJjx/sof9/3jb7fnb90RHhQFRwOPyp53cvsWH8eESIjD/Z5nzQj/ZJYEM/cDnAD2W9o9Rh
Pn/+9jKPwM7X+PHweHyrI3wQHveqwx4EGIu41v5qNQh6LeeoshMYHeHZwPP7sg315wUT1qewb0g7
5w4rXq9Wg/wO+x7Wi7hFH+ckvFSH/G8mATDKgYmEpYp4vdwX2RK439uGpRxnlYBS9vB90XxHo48y
QKcC3b1e7AyidOZnrIZHYvsR7gkv4aE/fhJosFoYIFiqeBzE61WppHN66Bql0uP+c4ST8PjXOWRj
tN9ZUPJIp36cg1eXKCQJLBQEoIa52zOO9ow4vHQWUUIEBuEg8mI1iC0BQxFsFI71QTAOrhLgFFjs
CVyfni7Lr1aDij0200MxdaSHg6CIHlYqiUnAMhdzi1ePADJoITXmZvW4UI50DtSD50DbUXh5EmB9
PK/4n6pGzgbHRAYJYn3UU6EcvCY0lb0Ppo2u0ZIQL0qwn6fCeAc9mosm5bV4He3KOLyAhr1NE4WM
tafrJNvtz1MhikuHYDTh/HiUtaOwLjhse9CcXXYAR8SvCmgh0oNKRVfpSCdBOfwWYbxDGShuUo/P
vHjof34SyN2jpFI4TY50El7lFP9x7cgmKWwvwFeQXorXq6uU8GBHIkFz8Ugn4Qn7OqR25A/N1sgx
8KtJoGRQDAVq4ePSO74CWn+LjRHUmXhn5alu2nOfBHrBydc51kkQBvyHbYzUTWSqQBV8KhleHZTc
Ikx+rAO+H+lyEBXfYZMAc0AlXlzn0vy4J7ysFrhGUD2yc9rHeo14uu0fsifo76D0w514RhZeLgfy
d8S2iDrs8Qw92pLpcd8+ZCpM6mS8KCmlH5+Hlwcli0I2gZp22rWjLJmE29KBi0KUTAJbgUmze72a
BA2QBZMoXA2OdGcwDofbAJJQK2JU9QvMkSsV6YL4Pjw1v47voHyCwA5ZDhY2FaZjImd4vDa+3BlY
DjBqHTYG/flJOc5FcXAJDfKoOzKKiOeagbPnpxKaqSD0kl7FU7l+hM/D4YuCg4Dm4/fH4RX8KhYF
hRN3rUdo7/gmwTgYbKFwAjswOTJ/0aoWNQMMFjpTj6XVsR6XpKsfelKY7yBqQqvESXD3elU+Ke9M
w+RqfbTUhacL7yGbJM88VFCOiqeaYc8kCA8etoZjvU2ohwPxtgg/ET2HJ07TvklA1o3b0eNJcqz7
g1DzHVg+aSCQTAQmm/sPTeHBiaAPu7pj3RmE2vDASQBwJp6GHtXTJvmqNYFtFg8LZO9jZXFohxfS
pJPaMm7wT6jba9iN+orGPh3bY10Or0zS/xx2g5xPHCd3pqfWw6snQVRW4n8AlOJ1tIvi4BpSA5An
xRZSyy9a+DBaCC3HH/doyRyvTIr//HmgK8e9inDKJwTy5UnB9qiCuHCaHOnl8mnHOqRkoElFII1B
o+rFLYIvTwiGzew8PSLHOgeHQ28WfVuZuFOuC4+vF1NBGQ1XXBExCMc6CY/wxyEPgvXO4TnQSfTY
7X2vQVgcncibppJ4LC6PdnM8vGwyAFxU7J45KHYvvurLCza3LsLwnqrVI7xbvkVngm1R3Bt/LQ1Q
HZaMYjyeRsc3CU+r9bBFAcBK0PDzHviqYuCCrdpglPqxLoenD3bYJAjEnTbdr6A35Z14DrhWHmsB
/cqE5Y9rBaAWqO6ch9qvmvfqOw5LogmeWkHHtxxErOjBVyl4fAR1Yimze70smEAe+SGqKvu4z4in
B/WARSHonxoVAWnnv6wZTBr8REwc6/b4VNkfMAmiZ2mALwjYbf9BiUBCRH9gM3SkhZP+WNEdMgn0
qDRVhRj/hC+8LKS5Splimo4XdNMPrx7td7pI+kQq+IudYXfPMHWO0yN9Ep7KmEOeBEpomwsjf+lf
LAeZM0JVcPI61j3BOByIRzlmQfODqPCyambLJOoHR4U/qJX+B8fod4EyHuHx1500GZujfQrmX/2D
ZzXu65//IDzeyW1/+pdCqvz45o/yZPH//8fPyuWdXviHnz7rh3fv9PT7T1/x9Zv/9GbP3+v5P66C
bbkpH/xh94Ph6YNeEBT473/9Z8z/+br5USwsXDEECPz83/bLrL+XB78fPQ/S7fNA66///pcYXBz4
z//tkMGTzdesfB7oh8F5Zv6ex9cC8f/RJye4ot73wbksHTz2dBNvWv4k1fNYP3x2Vvvh42dxU736
kzLr7KdvMHhal/g6Z3vNCMVKPvgtZtv4rwsyuffNP8XBwePP479mWcnD8zzWD/PP8Xbw+ItyW+2z
jBGci4MHX8bbdE+4h2hdHzz2qkm+ZPHX+nmov+dFKB4OHn6d5Nsy2MTPQ/0w/Fss2TWxhnuGfosV
e0qG3Z6h32Kxngapt2cjENK7gyf8bBPtWUOCj/sGQ1fVdt+cvMUCPcuqv/4z9bbxdt/MvMUSPd98
ZQN+nocfHsS3WKLnm3Jf/o4wnjh43sXYebZvdxeCnMOH36Zfs4e9WY2CovcG45cP26/PA/0974L1
dfjgGZ/9eZwfxn6LZXqe7dvR1bdYpQxdb8vtsOeTv8VKvdjkex50AT0dPOEX23bzunbE0ewtluhl
uWELeP6UP/w532KJXsWbh+2e2lGg9AdPy1XcJPuKO0FQOHjwm4DSsQq+7pkZ0fs/ePzbzX8TIb4z
fTqgbL/diEzYNNibUf4WS/XxDf6b0Nm3+Ba/y4d8i/EXrICHoHrYU9Vob7F8xUT9Pi3uLb7FWRNU
f11+Cap83/d4i8Usvsf5pt7uG/8t1jPjk2Qz2ZRf9mfZvMWyfnyP36XlvMHfQuTxkA35vEv8vacK
ddLhO8fvDOoP/vRgGPsKNtGpOPyTB1UUDFnzPNQPE/MWJ/Dt7yxED54YCpNkzwEvgNrDJ6bepEEV
b5o9dbjQNh7+BgJm2XMOC6z94MHvtv5m39QINvXhg1PjB/Weok04JBw+ekNu1p4jXvhCvMHgAETJ
PlxOANsHD/+eEZp9a1XoWw4e/RM21c/D/L1OBRh9+NDNlz0LSai5/5uh98Gy3/0fX4O1z76O+37t
Zyxa/IuHeLsp/+O/AAAA//8=</cx:binary>
              </cx:geoCache>
            </cx:geography>
          </cx:layoutPr>
          <cx:valueColors>
            <cx:minColor>
              <a:schemeClr val="accent5">
                <a:lumMod val="20000"/>
                <a:lumOff val="80000"/>
              </a:schemeClr>
            </cx:minColor>
            <cx:maxColor>
              <a:schemeClr val="accent5">
                <a:lumMod val="75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358140</xdr:colOff>
      <xdr:row>0</xdr:row>
      <xdr:rowOff>0</xdr:rowOff>
    </xdr:from>
    <xdr:to>
      <xdr:col>26</xdr:col>
      <xdr:colOff>7620</xdr:colOff>
      <xdr:row>42</xdr:row>
      <xdr:rowOff>160020</xdr:rowOff>
    </xdr:to>
    <xdr:sp macro="" textlink="">
      <xdr:nvSpPr>
        <xdr:cNvPr id="4" name="Rectangle 3">
          <a:extLst>
            <a:ext uri="{FF2B5EF4-FFF2-40B4-BE49-F238E27FC236}">
              <a16:creationId xmlns:a16="http://schemas.microsoft.com/office/drawing/2014/main" id="{C3379710-1F5A-421A-AC35-0DC86D97F51A}"/>
            </a:ext>
          </a:extLst>
        </xdr:cNvPr>
        <xdr:cNvSpPr/>
      </xdr:nvSpPr>
      <xdr:spPr>
        <a:xfrm>
          <a:off x="2026920" y="0"/>
          <a:ext cx="14036040" cy="784098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xdr:colOff>
      <xdr:row>0</xdr:row>
      <xdr:rowOff>0</xdr:rowOff>
    </xdr:from>
    <xdr:to>
      <xdr:col>3</xdr:col>
      <xdr:colOff>19473</xdr:colOff>
      <xdr:row>42</xdr:row>
      <xdr:rowOff>160020</xdr:rowOff>
    </xdr:to>
    <xdr:sp macro="" textlink="">
      <xdr:nvSpPr>
        <xdr:cNvPr id="3" name="Rectangle 2">
          <a:extLst>
            <a:ext uri="{FF2B5EF4-FFF2-40B4-BE49-F238E27FC236}">
              <a16:creationId xmlns:a16="http://schemas.microsoft.com/office/drawing/2014/main" id="{3435BCC1-BE06-FF31-22CF-E955AD1E631B}"/>
            </a:ext>
          </a:extLst>
        </xdr:cNvPr>
        <xdr:cNvSpPr/>
      </xdr:nvSpPr>
      <xdr:spPr>
        <a:xfrm>
          <a:off x="25400" y="0"/>
          <a:ext cx="2026073" cy="8045063"/>
        </a:xfrm>
        <a:prstGeom prst="rect">
          <a:avLst/>
        </a:prstGeom>
        <a:solidFill>
          <a:schemeClr val="accent5">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xdr:colOff>
      <xdr:row>4</xdr:row>
      <xdr:rowOff>82129</xdr:rowOff>
    </xdr:from>
    <xdr:to>
      <xdr:col>1</xdr:col>
      <xdr:colOff>880533</xdr:colOff>
      <xdr:row>6</xdr:row>
      <xdr:rowOff>21391</xdr:rowOff>
    </xdr:to>
    <xdr:sp macro="" textlink="Pivots!H4">
      <xdr:nvSpPr>
        <xdr:cNvPr id="5" name="TextBox 4">
          <a:extLst>
            <a:ext uri="{FF2B5EF4-FFF2-40B4-BE49-F238E27FC236}">
              <a16:creationId xmlns:a16="http://schemas.microsoft.com/office/drawing/2014/main" id="{548A259A-D84E-BB34-B338-F79A9B260F9A}"/>
            </a:ext>
          </a:extLst>
        </xdr:cNvPr>
        <xdr:cNvSpPr txBox="1"/>
      </xdr:nvSpPr>
      <xdr:spPr>
        <a:xfrm>
          <a:off x="25400" y="833086"/>
          <a:ext cx="1164350" cy="3147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C063CD-7BA3-47C4-8B16-91EB8890823E}" type="TxLink">
            <a:rPr lang="en-US"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rPr>
            <a:pPr/>
            <a:t>2,400</a:t>
          </a:fld>
          <a:endParaRPr lang="en-IN" sz="1800" b="1">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25400</xdr:colOff>
      <xdr:row>7</xdr:row>
      <xdr:rowOff>172398</xdr:rowOff>
    </xdr:from>
    <xdr:to>
      <xdr:col>1</xdr:col>
      <xdr:colOff>880533</xdr:colOff>
      <xdr:row>9</xdr:row>
      <xdr:rowOff>111660</xdr:rowOff>
    </xdr:to>
    <xdr:sp macro="" textlink="Pivots!I4">
      <xdr:nvSpPr>
        <xdr:cNvPr id="6" name="TextBox 5">
          <a:extLst>
            <a:ext uri="{FF2B5EF4-FFF2-40B4-BE49-F238E27FC236}">
              <a16:creationId xmlns:a16="http://schemas.microsoft.com/office/drawing/2014/main" id="{0BA88EF2-1EF9-4FEC-88B9-A232F7820697}"/>
            </a:ext>
          </a:extLst>
        </xdr:cNvPr>
        <xdr:cNvSpPr txBox="1"/>
      </xdr:nvSpPr>
      <xdr:spPr>
        <a:xfrm>
          <a:off x="25400" y="1486572"/>
          <a:ext cx="1164350" cy="3147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0EF0A3C-95C9-40AB-9E87-91E4E1A6564D}" type="TxLink">
            <a:rPr lang="en-US"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11,997</a:t>
          </a:fld>
          <a:endParaRPr lang="en-IN"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25400</xdr:colOff>
      <xdr:row>11</xdr:row>
      <xdr:rowOff>62413</xdr:rowOff>
    </xdr:from>
    <xdr:to>
      <xdr:col>1</xdr:col>
      <xdr:colOff>880533</xdr:colOff>
      <xdr:row>13</xdr:row>
      <xdr:rowOff>3147</xdr:rowOff>
    </xdr:to>
    <xdr:sp macro="" textlink="Pivots!J4">
      <xdr:nvSpPr>
        <xdr:cNvPr id="7" name="TextBox 6">
          <a:extLst>
            <a:ext uri="{FF2B5EF4-FFF2-40B4-BE49-F238E27FC236}">
              <a16:creationId xmlns:a16="http://schemas.microsoft.com/office/drawing/2014/main" id="{B9A1E327-3EF2-47BF-B4F7-9D2B64505FE4}"/>
            </a:ext>
          </a:extLst>
        </xdr:cNvPr>
        <xdr:cNvSpPr txBox="1"/>
      </xdr:nvSpPr>
      <xdr:spPr>
        <a:xfrm>
          <a:off x="25400" y="2127543"/>
          <a:ext cx="1164350" cy="3162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23513C-B5FC-41BC-906C-151040745C71}" type="TxLink">
            <a:rPr lang="en-US"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$649.0k</a:t>
          </a:fld>
          <a:endParaRPr lang="en-IN"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25400</xdr:colOff>
      <xdr:row>14</xdr:row>
      <xdr:rowOff>121024</xdr:rowOff>
    </xdr:from>
    <xdr:to>
      <xdr:col>1</xdr:col>
      <xdr:colOff>880533</xdr:colOff>
      <xdr:row>16</xdr:row>
      <xdr:rowOff>61758</xdr:rowOff>
    </xdr:to>
    <xdr:sp macro="" textlink="Pivots!K4">
      <xdr:nvSpPr>
        <xdr:cNvPr id="8" name="TextBox 7">
          <a:extLst>
            <a:ext uri="{FF2B5EF4-FFF2-40B4-BE49-F238E27FC236}">
              <a16:creationId xmlns:a16="http://schemas.microsoft.com/office/drawing/2014/main" id="{B5AF3944-A149-4E15-A490-E345C96A9B00}"/>
            </a:ext>
          </a:extLst>
        </xdr:cNvPr>
        <xdr:cNvSpPr txBox="1"/>
      </xdr:nvSpPr>
      <xdr:spPr>
        <a:xfrm>
          <a:off x="25400" y="2749372"/>
          <a:ext cx="1164350" cy="31621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D10A4D-AE1D-49A2-8F62-A521A714486F}" type="TxLink">
            <a:rPr lang="en-US"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4.0</a:t>
          </a:fld>
          <a:endParaRPr lang="en-IN"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25400</xdr:colOff>
      <xdr:row>18</xdr:row>
      <xdr:rowOff>25031</xdr:rowOff>
    </xdr:from>
    <xdr:to>
      <xdr:col>1</xdr:col>
      <xdr:colOff>880533</xdr:colOff>
      <xdr:row>19</xdr:row>
      <xdr:rowOff>153503</xdr:rowOff>
    </xdr:to>
    <xdr:sp macro="" textlink="Pivots!L4">
      <xdr:nvSpPr>
        <xdr:cNvPr id="9" name="TextBox 8">
          <a:extLst>
            <a:ext uri="{FF2B5EF4-FFF2-40B4-BE49-F238E27FC236}">
              <a16:creationId xmlns:a16="http://schemas.microsoft.com/office/drawing/2014/main" id="{48293F0B-A569-4017-A738-7B43ADF8A390}"/>
            </a:ext>
          </a:extLst>
        </xdr:cNvPr>
        <xdr:cNvSpPr txBox="1"/>
      </xdr:nvSpPr>
      <xdr:spPr>
        <a:xfrm>
          <a:off x="25400" y="3404335"/>
          <a:ext cx="1164350" cy="31621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86D27A-0DB4-4371-A541-AA747662A21D}" type="TxLink">
            <a:rPr lang="en-US"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2.3</a:t>
          </a:fld>
          <a:endParaRPr lang="en-IN" sz="18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25400</xdr:colOff>
      <xdr:row>3</xdr:row>
      <xdr:rowOff>61108</xdr:rowOff>
    </xdr:from>
    <xdr:to>
      <xdr:col>1</xdr:col>
      <xdr:colOff>753533</xdr:colOff>
      <xdr:row>5</xdr:row>
      <xdr:rowOff>8834</xdr:rowOff>
    </xdr:to>
    <xdr:sp macro="" textlink="">
      <xdr:nvSpPr>
        <xdr:cNvPr id="10" name="TextBox 9">
          <a:extLst>
            <a:ext uri="{FF2B5EF4-FFF2-40B4-BE49-F238E27FC236}">
              <a16:creationId xmlns:a16="http://schemas.microsoft.com/office/drawing/2014/main" id="{D07D0282-12C5-FC9A-DAF8-D115A9A8EE97}"/>
            </a:ext>
          </a:extLst>
        </xdr:cNvPr>
        <xdr:cNvSpPr txBox="1"/>
      </xdr:nvSpPr>
      <xdr:spPr>
        <a:xfrm>
          <a:off x="25400" y="624325"/>
          <a:ext cx="1037350" cy="323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t>🛒</a:t>
          </a:r>
          <a:r>
            <a:rPr lang="en-IN" sz="12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rPr>
            <a:t>Orders</a:t>
          </a:r>
          <a:endParaRPr lang="en-IN" sz="16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25400</xdr:colOff>
      <xdr:row>6</xdr:row>
      <xdr:rowOff>105730</xdr:rowOff>
    </xdr:from>
    <xdr:to>
      <xdr:col>1</xdr:col>
      <xdr:colOff>753533</xdr:colOff>
      <xdr:row>8</xdr:row>
      <xdr:rowOff>54929</xdr:rowOff>
    </xdr:to>
    <xdr:sp macro="" textlink="">
      <xdr:nvSpPr>
        <xdr:cNvPr id="11" name="TextBox 10">
          <a:extLst>
            <a:ext uri="{FF2B5EF4-FFF2-40B4-BE49-F238E27FC236}">
              <a16:creationId xmlns:a16="http://schemas.microsoft.com/office/drawing/2014/main" id="{5F279325-9EC2-41B1-9BDB-CDF37F922469}"/>
            </a:ext>
          </a:extLst>
        </xdr:cNvPr>
        <xdr:cNvSpPr txBox="1"/>
      </xdr:nvSpPr>
      <xdr:spPr>
        <a:xfrm>
          <a:off x="25400" y="1232165"/>
          <a:ext cx="1037350" cy="3246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dk1"/>
              </a:solidFill>
              <a:effectLst/>
              <a:latin typeface="+mn-lt"/>
              <a:ea typeface="+mn-ea"/>
              <a:cs typeface="+mn-cs"/>
            </a:rPr>
            <a:t>👕</a:t>
          </a:r>
          <a:r>
            <a:rPr lang="en-IN" sz="1200">
              <a:effectLst/>
            </a:rPr>
            <a:t> </a:t>
          </a:r>
          <a:r>
            <a:rPr lang="en-IN" sz="12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rPr>
            <a:t>Quantity</a:t>
          </a:r>
          <a:endParaRPr lang="en-IN" sz="16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25400</xdr:colOff>
      <xdr:row>9</xdr:row>
      <xdr:rowOff>173912</xdr:rowOff>
    </xdr:from>
    <xdr:to>
      <xdr:col>1</xdr:col>
      <xdr:colOff>914400</xdr:colOff>
      <xdr:row>11</xdr:row>
      <xdr:rowOff>121639</xdr:rowOff>
    </xdr:to>
    <xdr:sp macro="" textlink="">
      <xdr:nvSpPr>
        <xdr:cNvPr id="12" name="TextBox 11">
          <a:extLst>
            <a:ext uri="{FF2B5EF4-FFF2-40B4-BE49-F238E27FC236}">
              <a16:creationId xmlns:a16="http://schemas.microsoft.com/office/drawing/2014/main" id="{0FAAD884-015C-4EED-82DC-130E80301174}"/>
            </a:ext>
          </a:extLst>
        </xdr:cNvPr>
        <xdr:cNvSpPr txBox="1"/>
      </xdr:nvSpPr>
      <xdr:spPr>
        <a:xfrm>
          <a:off x="25400" y="1863564"/>
          <a:ext cx="1198217" cy="32320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dk1"/>
              </a:solidFill>
              <a:effectLst/>
              <a:latin typeface="+mn-lt"/>
              <a:ea typeface="+mn-ea"/>
              <a:cs typeface="+mn-cs"/>
            </a:rPr>
            <a:t>💰</a:t>
          </a:r>
          <a:r>
            <a:rPr lang="en-IN" sz="1600">
              <a:effectLst/>
            </a:rPr>
            <a:t> </a:t>
          </a:r>
          <a:r>
            <a:rPr lang="en-IN" sz="12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rPr>
            <a:t>Amount</a:t>
          </a:r>
          <a:endParaRPr lang="en-IN" sz="16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0</xdr:col>
      <xdr:colOff>25400</xdr:colOff>
      <xdr:row>13</xdr:row>
      <xdr:rowOff>87485</xdr:rowOff>
    </xdr:from>
    <xdr:to>
      <xdr:col>1</xdr:col>
      <xdr:colOff>914401</xdr:colOff>
      <xdr:row>15</xdr:row>
      <xdr:rowOff>36685</xdr:rowOff>
    </xdr:to>
    <xdr:sp macro="" textlink="">
      <xdr:nvSpPr>
        <xdr:cNvPr id="13" name="TextBox 12">
          <a:extLst>
            <a:ext uri="{FF2B5EF4-FFF2-40B4-BE49-F238E27FC236}">
              <a16:creationId xmlns:a16="http://schemas.microsoft.com/office/drawing/2014/main" id="{ECEE3B00-7B04-4492-B403-6B810591A094}"/>
            </a:ext>
          </a:extLst>
        </xdr:cNvPr>
        <xdr:cNvSpPr txBox="1"/>
      </xdr:nvSpPr>
      <xdr:spPr>
        <a:xfrm>
          <a:off x="25400" y="2528094"/>
          <a:ext cx="1198218" cy="3246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dk1"/>
              </a:solidFill>
              <a:effectLst/>
              <a:latin typeface="+mn-lt"/>
              <a:ea typeface="+mn-ea"/>
              <a:cs typeface="+mn-cs"/>
            </a:rPr>
            <a:t>⭐</a:t>
          </a:r>
          <a:r>
            <a:rPr lang="en-IN" sz="1200">
              <a:effectLst/>
            </a:rPr>
            <a:t> </a:t>
          </a:r>
          <a:r>
            <a:rPr lang="en-IN" sz="12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t>Avg</a:t>
          </a:r>
          <a:r>
            <a:rPr lang="en-IN" sz="1200" b="1" i="0" u="none" strike="noStrike" baseline="0">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t> Rating</a:t>
          </a:r>
          <a:endParaRPr lang="en-IN" sz="12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25400</xdr:colOff>
      <xdr:row>16</xdr:row>
      <xdr:rowOff>179228</xdr:rowOff>
    </xdr:from>
    <xdr:to>
      <xdr:col>1</xdr:col>
      <xdr:colOff>1202268</xdr:colOff>
      <xdr:row>18</xdr:row>
      <xdr:rowOff>128428</xdr:rowOff>
    </xdr:to>
    <xdr:sp macro="" textlink="">
      <xdr:nvSpPr>
        <xdr:cNvPr id="14" name="TextBox 13">
          <a:extLst>
            <a:ext uri="{FF2B5EF4-FFF2-40B4-BE49-F238E27FC236}">
              <a16:creationId xmlns:a16="http://schemas.microsoft.com/office/drawing/2014/main" id="{0B376647-68E1-4C77-B567-D4AABE20B9DC}"/>
            </a:ext>
          </a:extLst>
        </xdr:cNvPr>
        <xdr:cNvSpPr txBox="1"/>
      </xdr:nvSpPr>
      <xdr:spPr>
        <a:xfrm>
          <a:off x="25400" y="3183054"/>
          <a:ext cx="1486085" cy="3246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dk1"/>
              </a:solidFill>
              <a:effectLst/>
              <a:latin typeface="+mj-lt"/>
              <a:ea typeface="+mn-ea"/>
              <a:cs typeface="+mn-cs"/>
            </a:rPr>
            <a:t>📅</a:t>
          </a:r>
          <a:r>
            <a:rPr lang="en-IN" sz="1200">
              <a:effectLst/>
              <a:latin typeface="+mj-lt"/>
            </a:rPr>
            <a:t> </a:t>
          </a:r>
          <a:r>
            <a:rPr lang="en-IN" sz="12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rPr>
            <a:t>Days</a:t>
          </a:r>
          <a:r>
            <a:rPr lang="en-IN" sz="1200" b="1" i="0" u="none" strike="noStrike" baseline="0">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rPr>
            <a:t> to Deliver</a:t>
          </a:r>
          <a:endParaRPr lang="en-IN" sz="1600" b="1" i="0" u="none" strike="noStrike">
            <a:gradFill>
              <a:gsLst>
                <a:gs pos="0">
                  <a:schemeClr val="bg1"/>
                </a:gs>
                <a:gs pos="90000">
                  <a:schemeClr val="bg1">
                    <a:lumMod val="65000"/>
                  </a:schemeClr>
                </a:gs>
              </a:gsLst>
              <a:lin ang="5400000" scaled="1"/>
            </a:gradFill>
            <a:effectLst>
              <a:outerShdw blurRad="50800" dist="38100" dir="5400000" algn="t" rotWithShape="0">
                <a:prstClr val="black">
                  <a:alpha val="40000"/>
                </a:prstClr>
              </a:outerShdw>
            </a:effectLst>
            <a:latin typeface="+mj-lt"/>
            <a:ea typeface="+mn-ea"/>
            <a:cs typeface="+mn-cs"/>
          </a:endParaRPr>
        </a:p>
      </xdr:txBody>
    </xdr:sp>
    <xdr:clientData/>
  </xdr:twoCellAnchor>
  <xdr:twoCellAnchor>
    <xdr:from>
      <xdr:col>3</xdr:col>
      <xdr:colOff>266075</xdr:colOff>
      <xdr:row>1</xdr:row>
      <xdr:rowOff>127001</xdr:rowOff>
    </xdr:from>
    <xdr:to>
      <xdr:col>10</xdr:col>
      <xdr:colOff>37475</xdr:colOff>
      <xdr:row>15</xdr:row>
      <xdr:rowOff>60159</xdr:rowOff>
    </xdr:to>
    <xdr:graphicFrame macro="">
      <xdr:nvGraphicFramePr>
        <xdr:cNvPr id="15" name="Chart 14">
          <a:extLst>
            <a:ext uri="{FF2B5EF4-FFF2-40B4-BE49-F238E27FC236}">
              <a16:creationId xmlns:a16="http://schemas.microsoft.com/office/drawing/2014/main" id="{CD99B440-7691-4925-8752-79E5D4B43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599607</xdr:colOff>
      <xdr:row>1</xdr:row>
      <xdr:rowOff>134993</xdr:rowOff>
    </xdr:from>
    <xdr:to>
      <xdr:col>17</xdr:col>
      <xdr:colOff>599606</xdr:colOff>
      <xdr:row>15</xdr:row>
      <xdr:rowOff>47667</xdr:rowOff>
    </xdr:to>
    <xdr:sp macro="" textlink="">
      <xdr:nvSpPr>
        <xdr:cNvPr id="18" name="Rectangle 17">
          <a:extLst>
            <a:ext uri="{FF2B5EF4-FFF2-40B4-BE49-F238E27FC236}">
              <a16:creationId xmlns:a16="http://schemas.microsoft.com/office/drawing/2014/main" id="{B41420DA-381C-0337-EF7F-A88821256B7E}"/>
            </a:ext>
          </a:extLst>
        </xdr:cNvPr>
        <xdr:cNvSpPr/>
      </xdr:nvSpPr>
      <xdr:spPr>
        <a:xfrm>
          <a:off x="6920459" y="322370"/>
          <a:ext cx="4284688" cy="253595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503105</xdr:colOff>
          <xdr:row>4</xdr:row>
          <xdr:rowOff>166060</xdr:rowOff>
        </xdr:from>
        <xdr:to>
          <xdr:col>17</xdr:col>
          <xdr:colOff>221171</xdr:colOff>
          <xdr:row>14</xdr:row>
          <xdr:rowOff>113341</xdr:rowOff>
        </xdr:to>
        <xdr:pic>
          <xdr:nvPicPr>
            <xdr:cNvPr id="17" name="Picture 16">
              <a:extLst>
                <a:ext uri="{FF2B5EF4-FFF2-40B4-BE49-F238E27FC236}">
                  <a16:creationId xmlns:a16="http://schemas.microsoft.com/office/drawing/2014/main" id="{EEDD7073-F94B-5F42-54A1-8B955387FD13}"/>
                </a:ext>
              </a:extLst>
            </xdr:cNvPr>
            <xdr:cNvPicPr>
              <a:picLocks noChangeAspect="1" noChangeArrowheads="1"/>
              <a:extLst>
                <a:ext uri="{84589F7E-364E-4C9E-8A38-B11213B215E9}">
                  <a14:cameraTool cellRange="Sheet1!$H$4:$L$9" spid="_x0000_s6157"/>
                </a:ext>
              </a:extLst>
            </xdr:cNvPicPr>
          </xdr:nvPicPr>
          <xdr:blipFill>
            <a:blip xmlns:r="http://schemas.openxmlformats.org/officeDocument/2006/relationships" r:embed="rId2"/>
            <a:srcRect/>
            <a:stretch>
              <a:fillRect/>
            </a:stretch>
          </xdr:blipFill>
          <xdr:spPr bwMode="auto">
            <a:xfrm>
              <a:off x="7394235" y="917017"/>
              <a:ext cx="3362414" cy="182467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591224</xdr:colOff>
      <xdr:row>1</xdr:row>
      <xdr:rowOff>162887</xdr:rowOff>
    </xdr:from>
    <xdr:to>
      <xdr:col>24</xdr:col>
      <xdr:colOff>531067</xdr:colOff>
      <xdr:row>15</xdr:row>
      <xdr:rowOff>102729</xdr:rowOff>
    </xdr:to>
    <xdr:graphicFrame macro="">
      <xdr:nvGraphicFramePr>
        <xdr:cNvPr id="20" name="Chart 19">
          <a:extLst>
            <a:ext uri="{FF2B5EF4-FFF2-40B4-BE49-F238E27FC236}">
              <a16:creationId xmlns:a16="http://schemas.microsoft.com/office/drawing/2014/main" id="{D2DF7B3B-54B8-4745-8396-5B56C1D93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272473</xdr:colOff>
      <xdr:row>17</xdr:row>
      <xdr:rowOff>117002</xdr:rowOff>
    </xdr:from>
    <xdr:to>
      <xdr:col>10</xdr:col>
      <xdr:colOff>87442</xdr:colOff>
      <xdr:row>41</xdr:row>
      <xdr:rowOff>62459</xdr:rowOff>
    </xdr:to>
    <xdr:graphicFrame macro="">
      <xdr:nvGraphicFramePr>
        <xdr:cNvPr id="21" name="Chart 20">
          <a:extLst>
            <a:ext uri="{FF2B5EF4-FFF2-40B4-BE49-F238E27FC236}">
              <a16:creationId xmlns:a16="http://schemas.microsoft.com/office/drawing/2014/main" id="{7AF55D88-2943-4888-A032-ED0EC87D9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184355</xdr:colOff>
      <xdr:row>31</xdr:row>
      <xdr:rowOff>12292</xdr:rowOff>
    </xdr:from>
    <xdr:to>
      <xdr:col>8</xdr:col>
      <xdr:colOff>12291</xdr:colOff>
      <xdr:row>40</xdr:row>
      <xdr:rowOff>12290</xdr:rowOff>
    </xdr:to>
    <xdr:graphicFrame macro="">
      <xdr:nvGraphicFramePr>
        <xdr:cNvPr id="22" name="Chart 21">
          <a:extLst>
            <a:ext uri="{FF2B5EF4-FFF2-40B4-BE49-F238E27FC236}">
              <a16:creationId xmlns:a16="http://schemas.microsoft.com/office/drawing/2014/main" id="{A8A7A5C0-442F-4759-8BE6-AF460F47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20607</xdr:colOff>
      <xdr:row>17</xdr:row>
      <xdr:rowOff>129356</xdr:rowOff>
    </xdr:from>
    <xdr:to>
      <xdr:col>18</xdr:col>
      <xdr:colOff>1</xdr:colOff>
      <xdr:row>41</xdr:row>
      <xdr:rowOff>37474</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57BBE800-5150-473A-9DDA-9A0BFCF84F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931947" y="3238316"/>
              <a:ext cx="4246594" cy="42972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xdr:colOff>
      <xdr:row>24</xdr:row>
      <xdr:rowOff>12294</xdr:rowOff>
    </xdr:from>
    <xdr:to>
      <xdr:col>17</xdr:col>
      <xdr:colOff>385947</xdr:colOff>
      <xdr:row>31</xdr:row>
      <xdr:rowOff>168234</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D845DD3C-6594-4DF5-8B6E-87EE961D6E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59341" y="4401414"/>
              <a:ext cx="995546" cy="1436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10810</xdr:colOff>
      <xdr:row>17</xdr:row>
      <xdr:rowOff>95497</xdr:rowOff>
    </xdr:from>
    <xdr:to>
      <xdr:col>24</xdr:col>
      <xdr:colOff>541092</xdr:colOff>
      <xdr:row>28</xdr:row>
      <xdr:rowOff>122452</xdr:rowOff>
    </xdr:to>
    <xdr:graphicFrame macro="">
      <xdr:nvGraphicFramePr>
        <xdr:cNvPr id="27" name="Chart 26">
          <a:extLst>
            <a:ext uri="{FF2B5EF4-FFF2-40B4-BE49-F238E27FC236}">
              <a16:creationId xmlns:a16="http://schemas.microsoft.com/office/drawing/2014/main" id="{A7ECF8DD-5FDD-482B-8BCE-01C58607C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18205</xdr:colOff>
      <xdr:row>30</xdr:row>
      <xdr:rowOff>25475</xdr:rowOff>
    </xdr:from>
    <xdr:to>
      <xdr:col>24</xdr:col>
      <xdr:colOff>588595</xdr:colOff>
      <xdr:row>41</xdr:row>
      <xdr:rowOff>5424</xdr:rowOff>
    </xdr:to>
    <xdr:graphicFrame macro="">
      <xdr:nvGraphicFramePr>
        <xdr:cNvPr id="28" name="Chart 27">
          <a:extLst>
            <a:ext uri="{FF2B5EF4-FFF2-40B4-BE49-F238E27FC236}">
              <a16:creationId xmlns:a16="http://schemas.microsoft.com/office/drawing/2014/main" id="{BC9DB4DD-FDD4-4965-B18D-516C02DCC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127872</xdr:colOff>
      <xdr:row>21</xdr:row>
      <xdr:rowOff>11386</xdr:rowOff>
    </xdr:from>
    <xdr:to>
      <xdr:col>2</xdr:col>
      <xdr:colOff>192709</xdr:colOff>
      <xdr:row>31</xdr:row>
      <xdr:rowOff>71544</xdr:rowOff>
    </xdr:to>
    <mc:AlternateContent xmlns:mc="http://schemas.openxmlformats.org/markup-compatibility/2006" xmlns:a14="http://schemas.microsoft.com/office/drawing/2010/main">
      <mc:Choice Requires="a14">
        <xdr:graphicFrame macro="">
          <xdr:nvGraphicFramePr>
            <xdr:cNvPr id="29" name="Order Mode">
              <a:extLst>
                <a:ext uri="{FF2B5EF4-FFF2-40B4-BE49-F238E27FC236}">
                  <a16:creationId xmlns:a16="http://schemas.microsoft.com/office/drawing/2014/main" id="{BD92256C-FA1C-4781-81CA-BD99BE3A6646}"/>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27872" y="3776562"/>
              <a:ext cx="1732272" cy="185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128552</xdr:colOff>
      <xdr:row>32</xdr:row>
      <xdr:rowOff>46564</xdr:rowOff>
    </xdr:from>
    <xdr:to>
      <xdr:col>2</xdr:col>
      <xdr:colOff>206644</xdr:colOff>
      <xdr:row>40</xdr:row>
      <xdr:rowOff>174356</xdr:rowOff>
    </xdr:to>
    <mc:AlternateContent xmlns:mc="http://schemas.openxmlformats.org/markup-compatibility/2006" xmlns:a14="http://schemas.microsoft.com/office/drawing/2010/main">
      <mc:Choice Requires="a14">
        <xdr:graphicFrame macro="">
          <xdr:nvGraphicFramePr>
            <xdr:cNvPr id="30" name="Gender Value">
              <a:extLst>
                <a:ext uri="{FF2B5EF4-FFF2-40B4-BE49-F238E27FC236}">
                  <a16:creationId xmlns:a16="http://schemas.microsoft.com/office/drawing/2014/main" id="{FC5F2D20-5F92-4847-9FE4-11FE9BAD4D1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28552" y="5783976"/>
              <a:ext cx="1745527" cy="1562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508505</xdr:colOff>
      <xdr:row>2</xdr:row>
      <xdr:rowOff>65722</xdr:rowOff>
    </xdr:from>
    <xdr:to>
      <xdr:col>16</xdr:col>
      <xdr:colOff>141924</xdr:colOff>
      <xdr:row>4</xdr:row>
      <xdr:rowOff>152220</xdr:rowOff>
    </xdr:to>
    <xdr:sp macro="" textlink="">
      <xdr:nvSpPr>
        <xdr:cNvPr id="31" name="TextBox 30">
          <a:extLst>
            <a:ext uri="{FF2B5EF4-FFF2-40B4-BE49-F238E27FC236}">
              <a16:creationId xmlns:a16="http://schemas.microsoft.com/office/drawing/2014/main" id="{E2C1E7B0-ED5C-69BD-61F5-CF95497EFBB0}"/>
            </a:ext>
          </a:extLst>
        </xdr:cNvPr>
        <xdr:cNvSpPr txBox="1"/>
      </xdr:nvSpPr>
      <xdr:spPr>
        <a:xfrm>
          <a:off x="8007027" y="441200"/>
          <a:ext cx="2062984" cy="4619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How they</a:t>
          </a:r>
          <a:r>
            <a:rPr lang="en-IN" sz="1600" b="1" baseline="0"/>
            <a:t> like to buy?</a:t>
          </a:r>
          <a:endParaRPr lang="en-IN" sz="1600" b="1"/>
        </a:p>
      </xdr:txBody>
    </xdr:sp>
    <xdr:clientData/>
  </xdr:twoCellAnchor>
  <xdr:twoCellAnchor editAs="oneCell">
    <xdr:from>
      <xdr:col>0</xdr:col>
      <xdr:colOff>150318</xdr:colOff>
      <xdr:row>0</xdr:row>
      <xdr:rowOff>62459</xdr:rowOff>
    </xdr:from>
    <xdr:to>
      <xdr:col>2</xdr:col>
      <xdr:colOff>19746</xdr:colOff>
      <xdr:row>2</xdr:row>
      <xdr:rowOff>129787</xdr:rowOff>
    </xdr:to>
    <xdr:pic>
      <xdr:nvPicPr>
        <xdr:cNvPr id="33" name="Picture 32">
          <a:extLst>
            <a:ext uri="{FF2B5EF4-FFF2-40B4-BE49-F238E27FC236}">
              <a16:creationId xmlns:a16="http://schemas.microsoft.com/office/drawing/2014/main" id="{989D2552-4054-4D7F-B5DF-1C95643C064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50318" y="62459"/>
          <a:ext cx="1543330" cy="4420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i Priya" refreshedDate="46260.476010995371" createdVersion="8" refreshedVersion="8" minRefreshableVersion="3" recordCount="2400" xr:uid="{EFE6FC2F-539F-4616-B665-980EEEE44673}">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395889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D83B0-5E02-4E04-BA2E-8CA5135F4AD0}"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J43:K4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9" format="0" series="1">
      <pivotArea type="data" outline="0" fieldPosition="0">
        <references count="2">
          <reference field="4294967294" count="1" selected="0">
            <x v="0"/>
          </reference>
          <reference field="14" count="1" selected="0">
            <x v="0"/>
          </reference>
        </references>
      </pivotArea>
    </chartFormat>
    <chartFormat chart="29" format="1" series="1">
      <pivotArea type="data" outline="0" fieldPosition="0">
        <references count="2">
          <reference field="4294967294" count="1" selected="0">
            <x v="0"/>
          </reference>
          <reference field="14" count="1" selected="0">
            <x v="1"/>
          </reference>
        </references>
      </pivotArea>
    </chartFormat>
    <chartFormat chart="29" format="2" series="1">
      <pivotArea type="data" outline="0" fieldPosition="0">
        <references count="2">
          <reference field="4294967294" count="1" selected="0">
            <x v="0"/>
          </reference>
          <reference field="14" count="1" selected="0">
            <x v="2"/>
          </reference>
        </references>
      </pivotArea>
    </chartFormat>
    <chartFormat chart="29" format="3" series="1">
      <pivotArea type="data" outline="0" fieldPosition="0">
        <references count="2">
          <reference field="4294967294" count="1" selected="0">
            <x v="0"/>
          </reference>
          <reference field="14" count="1" selected="0">
            <x v="3"/>
          </reference>
        </references>
      </pivotArea>
    </chartFormat>
    <chartFormat chart="37" format="8" series="1">
      <pivotArea type="data" outline="0" fieldPosition="0">
        <references count="2">
          <reference field="4294967294" count="1" selected="0">
            <x v="0"/>
          </reference>
          <reference field="14" count="1" selected="0">
            <x v="0"/>
          </reference>
        </references>
      </pivotArea>
    </chartFormat>
    <chartFormat chart="37" format="9" series="1">
      <pivotArea type="data" outline="0" fieldPosition="0">
        <references count="2">
          <reference field="4294967294" count="1" selected="0">
            <x v="0"/>
          </reference>
          <reference field="14" count="1" selected="0">
            <x v="1"/>
          </reference>
        </references>
      </pivotArea>
    </chartFormat>
    <chartFormat chart="37" format="10" series="1">
      <pivotArea type="data" outline="0" fieldPosition="0">
        <references count="2">
          <reference field="4294967294" count="1" selected="0">
            <x v="0"/>
          </reference>
          <reference field="14" count="1" selected="0">
            <x v="2"/>
          </reference>
        </references>
      </pivotArea>
    </chartFormat>
    <chartFormat chart="37" format="11" series="1">
      <pivotArea type="data" outline="0" fieldPosition="0">
        <references count="2">
          <reference field="4294967294" count="1" selected="0">
            <x v="0"/>
          </reference>
          <reference field="14" count="1" selected="0">
            <x v="3"/>
          </reference>
        </references>
      </pivotArea>
    </chartFormat>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14" count="1" selected="0">
            <x v="0"/>
          </reference>
        </references>
      </pivotArea>
    </chartFormat>
    <chartFormat chart="46" format="8">
      <pivotArea type="data" outline="0" fieldPosition="0">
        <references count="2">
          <reference field="4294967294" count="1" selected="0">
            <x v="0"/>
          </reference>
          <reference field="14" count="1" selected="0">
            <x v="1"/>
          </reference>
        </references>
      </pivotArea>
    </chartFormat>
    <chartFormat chart="46" format="9">
      <pivotArea type="data" outline="0" fieldPosition="0">
        <references count="2">
          <reference field="4294967294" count="1" selected="0">
            <x v="0"/>
          </reference>
          <reference field="14" count="1" selected="0">
            <x v="2"/>
          </reference>
        </references>
      </pivotArea>
    </chartFormat>
    <chartFormat chart="46" format="10">
      <pivotArea type="data" outline="0" fieldPosition="0">
        <references count="2">
          <reference field="4294967294" count="1" selected="0">
            <x v="0"/>
          </reference>
          <reference field="14" count="1" selected="0">
            <x v="3"/>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A30448-199F-4091-A99F-C19C65325199}"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43:F6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37" format="8" series="1">
      <pivotArea type="data" outline="0" fieldPosition="0">
        <references count="2">
          <reference field="4294967294" count="1" selected="0">
            <x v="0"/>
          </reference>
          <reference field="14" count="1" selected="0">
            <x v="0"/>
          </reference>
        </references>
      </pivotArea>
    </chartFormat>
    <chartFormat chart="37" format="9" series="1">
      <pivotArea type="data" outline="0" fieldPosition="0">
        <references count="2">
          <reference field="4294967294" count="1" selected="0">
            <x v="0"/>
          </reference>
          <reference field="14" count="1" selected="0">
            <x v="1"/>
          </reference>
        </references>
      </pivotArea>
    </chartFormat>
    <chartFormat chart="37" format="10" series="1">
      <pivotArea type="data" outline="0" fieldPosition="0">
        <references count="2">
          <reference field="4294967294" count="1" selected="0">
            <x v="0"/>
          </reference>
          <reference field="14" count="1" selected="0">
            <x v="2"/>
          </reference>
        </references>
      </pivotArea>
    </chartFormat>
    <chartFormat chart="37" format="11" series="1">
      <pivotArea type="data" outline="0" fieldPosition="0">
        <references count="2">
          <reference field="4294967294" count="1" selected="0">
            <x v="0"/>
          </reference>
          <reference field="14" count="1" selected="0">
            <x v="3"/>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772D6-36F7-4B4A-8C33-8103534F3589}"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0:B3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69FD57-312A-44B8-8AB7-72B01C930B00}" name="PvtTrend"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4">
  <location ref="B155:H160" firstHeaderRow="1" firstDataRow="2"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axis="axisCol" compact="0" outline="0" showAll="0" defaultSubtotal="0">
      <items count="5">
        <item x="3"/>
        <item x="4"/>
        <item x="1"/>
        <item x="0"/>
        <item x="2"/>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axis="axisRow"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51" format="13" series="1">
      <pivotArea type="data" outline="0" fieldPosition="0">
        <references count="2">
          <reference field="4294967294" count="1" selected="0">
            <x v="0"/>
          </reference>
          <reference field="9" count="1" selected="0">
            <x v="0"/>
          </reference>
        </references>
      </pivotArea>
    </chartFormat>
    <chartFormat chart="51" format="14" series="1">
      <pivotArea type="data" outline="0" fieldPosition="0">
        <references count="2">
          <reference field="4294967294" count="1" selected="0">
            <x v="0"/>
          </reference>
          <reference field="9" count="1" selected="0">
            <x v="1"/>
          </reference>
        </references>
      </pivotArea>
    </chartFormat>
    <chartFormat chart="51" format="15" series="1">
      <pivotArea type="data" outline="0" fieldPosition="0">
        <references count="2">
          <reference field="4294967294" count="1" selected="0">
            <x v="0"/>
          </reference>
          <reference field="9" count="1" selected="0">
            <x v="2"/>
          </reference>
        </references>
      </pivotArea>
    </chartFormat>
    <chartFormat chart="51" format="16" series="1">
      <pivotArea type="data" outline="0" fieldPosition="0">
        <references count="2">
          <reference field="4294967294" count="1" selected="0">
            <x v="0"/>
          </reference>
          <reference field="9" count="1" selected="0">
            <x v="3"/>
          </reference>
        </references>
      </pivotArea>
    </chartFormat>
    <chartFormat chart="51" format="17" series="1">
      <pivotArea type="data" outline="0" fieldPosition="0">
        <references count="2">
          <reference field="4294967294" count="1" selected="0">
            <x v="0"/>
          </reference>
          <reference field="9" count="1" selected="0">
            <x v="4"/>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7263A6-2DA5-4F26-87EB-4064A978C4C9}" name="PvtDeliver"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6">
  <location ref="B135:C151" firstHeaderRow="1" firstDataRow="1" firstDataCol="1"/>
  <pivotFields count="18">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axis="axisRow" compact="0" outline="0" showAll="0" defaultSubtotal="0">
      <items count="15">
        <item x="7"/>
        <item x="3"/>
        <item x="1"/>
        <item x="2"/>
        <item x="5"/>
        <item x="0"/>
        <item x="4"/>
        <item x="6"/>
        <item x="9"/>
        <item x="8"/>
        <item x="14"/>
        <item x="11"/>
        <item x="13"/>
        <item x="10"/>
        <item x="12"/>
      </items>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3"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4CAF1F-4992-409C-A040-5BAB0C48C114}" name="PvtAm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2">
    <format dxfId="12">
      <pivotArea collapsedLevelsAreSubtotals="1" fieldPosition="0">
        <references count="2">
          <reference field="4294967294" count="1" selected="0">
            <x v="1"/>
          </reference>
          <reference field="13" count="1">
            <x v="0"/>
          </reference>
        </references>
      </pivotArea>
    </format>
    <format dxfId="11">
      <pivotArea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A3D791-ABC8-4F3C-9A2D-D5A5A0AA5EBC}" name="Pvt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9">
  <location ref="A71:D130"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CBF81F-93FD-4166-849E-2538C414F075}" name="PvtSumm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C41023-ED6C-474D-8B39-239BFFF62F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6812188-9B61-4AEF-A914-AE7A925F2A30}" sourceName="Order Mode">
  <pivotTables>
    <pivotTable tabId="5" name="PvtTrend"/>
    <pivotTable tabId="5" name="PvtAmt"/>
    <pivotTable tabId="5" name="PvtDeliver"/>
    <pivotTable tabId="5" name="PvtGender"/>
    <pivotTable tabId="5" name="PvtMap"/>
    <pivotTable tabId="5" name="PvtProduct"/>
    <pivotTable tabId="5" name="PvtQty"/>
  </pivotTables>
  <data>
    <tabular pivotCacheId="139588930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6BF5578-1B78-45E0-A2E2-13AC60452E91}" sourceName="Gender Value">
  <pivotTables>
    <pivotTable tabId="5" name="PvtTrend"/>
    <pivotTable tabId="5" name="PvtAmt"/>
    <pivotTable tabId="5" name="PvtDeliver"/>
    <pivotTable tabId="5" name="PvtMap"/>
    <pivotTable tabId="5" name="PvtQty"/>
  </pivotTables>
  <data>
    <tabular pivotCacheId="139588930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6A188F47-3E5C-465F-8A07-26A679BA6153}" cache="Slicer_Order_Mode" caption="Order Mode" rowHeight="247650"/>
  <slicer name="Gender Value" xr10:uid="{AB52B251-F70B-4F33-A9A2-993C73985919}"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77FE9D-B1F9-42D8-A7EB-26BE5A41DF72}" name="Table7" displayName="Table7" ref="F71:H129" totalsRowShown="0" headerRowBorderDxfId="10" tableBorderDxfId="9" totalsRowBorderDxfId="8">
  <autoFilter ref="F71:H129" xr:uid="{E277FE9D-B1F9-42D8-A7EB-26BE5A41DF72}"/>
  <tableColumns count="3">
    <tableColumn id="1" xr3:uid="{3BCBF85A-C8B0-433D-8857-396C8116C7BD}" name="State" dataDxfId="7">
      <calculatedColumnFormula>A72</calculatedColumnFormula>
    </tableColumn>
    <tableColumn id="2" xr3:uid="{D3D973ED-52CA-40EF-A038-73CFE21130C0}" name="County" dataDxfId="6">
      <calculatedColumnFormula>B72</calculatedColumnFormula>
    </tableColumn>
    <tableColumn id="3" xr3:uid="{75EE65A6-3711-4E26-93F9-0375D6208359}" name="Qty" dataDxfId="5">
      <calculatedColumnFormula>C72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1AC578-B860-433A-AFB2-EBCB118E15C1}" name="Table8" displayName="Table8" ref="J71:L129" totalsRowShown="0">
  <autoFilter ref="J71:L129" xr:uid="{7A1AC578-B860-433A-AFB2-EBCB118E15C1}"/>
  <tableColumns count="3">
    <tableColumn id="1" xr3:uid="{A1EF17E4-9F6A-4381-9B07-1AD83773CBC6}" name="State">
      <calculatedColumnFormula>A72</calculatedColumnFormula>
    </tableColumn>
    <tableColumn id="2" xr3:uid="{012D4259-FC50-48DB-A1D6-35928616909F}" name="County">
      <calculatedColumnFormula>B72</calculatedColumnFormula>
    </tableColumn>
    <tableColumn id="3" xr3:uid="{C0F5E8EE-C977-4551-B1FC-5324EEB0A0EB}" name="Amount">
      <calculatedColumnFormula>D72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FA4B4-ED55-464A-8949-A8A5068E4642}">
  <dimension ref="A2:L160"/>
  <sheetViews>
    <sheetView topLeftCell="A123" zoomScale="98" zoomScaleNormal="47" workbookViewId="0">
      <selection activeCell="C130" sqref="C130"/>
    </sheetView>
  </sheetViews>
  <sheetFormatPr defaultRowHeight="14.4" x14ac:dyDescent="0.3"/>
  <cols>
    <col min="1" max="1" width="12.6640625" bestFit="1" customWidth="1"/>
    <col min="2" max="2" width="12.44140625" bestFit="1" customWidth="1"/>
    <col min="3" max="3" width="5.109375" bestFit="1" customWidth="1"/>
    <col min="4" max="4" width="5.77734375" bestFit="1" customWidth="1"/>
    <col min="5" max="5" width="8.77734375" bestFit="1" customWidth="1"/>
    <col min="6" max="6" width="10.77734375" bestFit="1" customWidth="1"/>
    <col min="7" max="7" width="10.21875" bestFit="1" customWidth="1"/>
    <col min="8" max="8" width="10.77734375" bestFit="1" customWidth="1"/>
    <col min="9" max="9" width="12.44140625" bestFit="1" customWidth="1"/>
    <col min="10" max="10" width="12.6640625" bestFit="1" customWidth="1"/>
    <col min="11" max="11" width="14.5546875" bestFit="1" customWidth="1"/>
    <col min="12" max="90" width="12.44140625" bestFit="1" customWidth="1"/>
    <col min="91" max="91" width="10.77734375" bestFit="1" customWidth="1"/>
  </cols>
  <sheetData>
    <row r="2" spans="1:12" x14ac:dyDescent="0.3">
      <c r="H2" t="s">
        <v>2557</v>
      </c>
    </row>
    <row r="3" spans="1:12" x14ac:dyDescent="0.3">
      <c r="A3" t="s">
        <v>2552</v>
      </c>
      <c r="B3" t="s">
        <v>2553</v>
      </c>
      <c r="C3" t="s">
        <v>2554</v>
      </c>
      <c r="D3" t="s">
        <v>2555</v>
      </c>
      <c r="E3" t="s">
        <v>2556</v>
      </c>
      <c r="H3" t="s">
        <v>2538</v>
      </c>
      <c r="I3" t="s">
        <v>2558</v>
      </c>
      <c r="J3" t="s">
        <v>4</v>
      </c>
      <c r="K3" t="s">
        <v>2559</v>
      </c>
      <c r="L3" t="s">
        <v>2560</v>
      </c>
    </row>
    <row r="4" spans="1:12" x14ac:dyDescent="0.3">
      <c r="A4">
        <v>2400</v>
      </c>
      <c r="B4">
        <v>11997</v>
      </c>
      <c r="C4">
        <v>649019.80000000144</v>
      </c>
      <c r="D4">
        <v>3.9620833333333332</v>
      </c>
      <c r="E4">
        <v>2.3424999999999998</v>
      </c>
      <c r="H4" t="str">
        <f>TEXT(A4,"#,##")</f>
        <v>2,400</v>
      </c>
      <c r="I4" t="str">
        <f t="shared" ref="I4" si="0">TEXT(B4,"#,##")</f>
        <v>11,997</v>
      </c>
      <c r="J4" t="str">
        <f>TEXT(C4,"$#,##,.0k")</f>
        <v>$649.0k</v>
      </c>
      <c r="K4" t="str">
        <f>TEXT(D4,"0.0")</f>
        <v>4.0</v>
      </c>
      <c r="L4" t="str">
        <f>TEXT(E4,"0.0")</f>
        <v>2.3</v>
      </c>
    </row>
    <row r="12" spans="1:12" x14ac:dyDescent="0.3">
      <c r="A12" s="12" t="s">
        <v>2565</v>
      </c>
      <c r="B12" t="s">
        <v>2553</v>
      </c>
      <c r="C12" t="s">
        <v>2554</v>
      </c>
    </row>
    <row r="13" spans="1:12" x14ac:dyDescent="0.3">
      <c r="A13" s="13">
        <v>1</v>
      </c>
      <c r="B13" s="29">
        <v>546</v>
      </c>
      <c r="C13" s="14">
        <v>32413.300000000003</v>
      </c>
    </row>
    <row r="14" spans="1:12" x14ac:dyDescent="0.3">
      <c r="A14" s="13">
        <v>2</v>
      </c>
      <c r="B14" s="29">
        <v>905</v>
      </c>
      <c r="C14" s="14">
        <v>49562.999999999993</v>
      </c>
    </row>
    <row r="15" spans="1:12" x14ac:dyDescent="0.3">
      <c r="A15" s="13">
        <v>3</v>
      </c>
      <c r="B15" s="29">
        <v>796</v>
      </c>
      <c r="C15" s="14">
        <v>41700.400000000016</v>
      </c>
    </row>
    <row r="16" spans="1:12" x14ac:dyDescent="0.3">
      <c r="A16" s="13">
        <v>4</v>
      </c>
      <c r="B16" s="29">
        <v>913</v>
      </c>
      <c r="C16" s="14">
        <v>46782.599999999984</v>
      </c>
    </row>
    <row r="17" spans="1:3" x14ac:dyDescent="0.3">
      <c r="A17" s="13">
        <v>5</v>
      </c>
      <c r="B17" s="29">
        <v>844</v>
      </c>
      <c r="C17" s="14">
        <v>42676.100000000006</v>
      </c>
    </row>
    <row r="18" spans="1:3" x14ac:dyDescent="0.3">
      <c r="A18" s="13">
        <v>6</v>
      </c>
      <c r="B18" s="29">
        <v>1202</v>
      </c>
      <c r="C18" s="14">
        <v>62910.7</v>
      </c>
    </row>
    <row r="19" spans="1:3" x14ac:dyDescent="0.3">
      <c r="A19" s="13">
        <v>7</v>
      </c>
      <c r="B19" s="29">
        <v>935</v>
      </c>
      <c r="C19" s="14">
        <v>50332.200000000004</v>
      </c>
    </row>
    <row r="20" spans="1:3" x14ac:dyDescent="0.3">
      <c r="A20" s="13">
        <v>8</v>
      </c>
      <c r="B20" s="29">
        <v>1128</v>
      </c>
      <c r="C20" s="14">
        <v>58760.599999999977</v>
      </c>
    </row>
    <row r="21" spans="1:3" x14ac:dyDescent="0.3">
      <c r="A21" s="13">
        <v>9</v>
      </c>
      <c r="B21" s="29">
        <v>1007</v>
      </c>
      <c r="C21" s="14">
        <v>52017.299999999996</v>
      </c>
    </row>
    <row r="22" spans="1:3" x14ac:dyDescent="0.3">
      <c r="A22" s="13">
        <v>10</v>
      </c>
      <c r="B22" s="29">
        <v>1128</v>
      </c>
      <c r="C22" s="14">
        <v>64915.700000000033</v>
      </c>
    </row>
    <row r="23" spans="1:3" x14ac:dyDescent="0.3">
      <c r="A23" s="13">
        <v>11</v>
      </c>
      <c r="B23" s="29">
        <v>861</v>
      </c>
      <c r="C23" s="14">
        <v>45943.80000000001</v>
      </c>
    </row>
    <row r="24" spans="1:3" x14ac:dyDescent="0.3">
      <c r="A24" s="13">
        <v>12</v>
      </c>
      <c r="B24" s="29">
        <v>944</v>
      </c>
      <c r="C24" s="14">
        <v>55077.900000000031</v>
      </c>
    </row>
    <row r="25" spans="1:3" x14ac:dyDescent="0.3">
      <c r="A25" s="13">
        <v>13</v>
      </c>
      <c r="B25" s="29">
        <v>788</v>
      </c>
      <c r="C25" s="14">
        <v>45926.19999999999</v>
      </c>
    </row>
    <row r="26" spans="1:3" x14ac:dyDescent="0.3">
      <c r="A26" s="13" t="s">
        <v>2566</v>
      </c>
      <c r="B26" s="29">
        <v>11997</v>
      </c>
      <c r="C26" s="14">
        <v>649019.79999999993</v>
      </c>
    </row>
    <row r="30" spans="1:3" x14ac:dyDescent="0.3">
      <c r="A30" s="12" t="s">
        <v>2565</v>
      </c>
      <c r="B30" t="s">
        <v>2552</v>
      </c>
    </row>
    <row r="31" spans="1:3" x14ac:dyDescent="0.3">
      <c r="A31" s="13">
        <v>1</v>
      </c>
      <c r="B31" s="29">
        <v>397</v>
      </c>
    </row>
    <row r="32" spans="1:3" x14ac:dyDescent="0.3">
      <c r="A32" s="13">
        <v>2</v>
      </c>
      <c r="B32" s="29">
        <v>540</v>
      </c>
    </row>
    <row r="33" spans="1:11" x14ac:dyDescent="0.3">
      <c r="A33" s="13">
        <v>3</v>
      </c>
      <c r="B33" s="29">
        <v>375</v>
      </c>
    </row>
    <row r="34" spans="1:11" x14ac:dyDescent="0.3">
      <c r="A34" s="13">
        <v>4</v>
      </c>
      <c r="B34" s="29">
        <v>246</v>
      </c>
    </row>
    <row r="35" spans="1:11" x14ac:dyDescent="0.3">
      <c r="A35" s="13">
        <v>5</v>
      </c>
      <c r="B35" s="29">
        <v>195</v>
      </c>
    </row>
    <row r="36" spans="1:11" x14ac:dyDescent="0.3">
      <c r="A36" s="13" t="s">
        <v>2573</v>
      </c>
      <c r="B36" s="29">
        <v>414</v>
      </c>
    </row>
    <row r="37" spans="1:11" x14ac:dyDescent="0.3">
      <c r="A37" s="13" t="s">
        <v>2574</v>
      </c>
      <c r="B37" s="29">
        <v>233</v>
      </c>
    </row>
    <row r="38" spans="1:11" x14ac:dyDescent="0.3">
      <c r="A38" s="13" t="s">
        <v>2566</v>
      </c>
      <c r="B38" s="29">
        <v>2400</v>
      </c>
    </row>
    <row r="43" spans="1:11" x14ac:dyDescent="0.3">
      <c r="A43" s="12" t="s">
        <v>2553</v>
      </c>
      <c r="B43" s="12" t="s">
        <v>2567</v>
      </c>
      <c r="J43" s="12" t="s">
        <v>2565</v>
      </c>
      <c r="K43" t="s">
        <v>2553</v>
      </c>
    </row>
    <row r="44" spans="1:11" x14ac:dyDescent="0.3">
      <c r="A44" s="12" t="s">
        <v>2565</v>
      </c>
      <c r="B44" t="s">
        <v>2563</v>
      </c>
      <c r="C44" t="s">
        <v>2562</v>
      </c>
      <c r="D44" t="s">
        <v>2564</v>
      </c>
      <c r="E44" t="s">
        <v>2561</v>
      </c>
      <c r="F44" t="s">
        <v>2566</v>
      </c>
      <c r="J44" s="13" t="s">
        <v>2563</v>
      </c>
      <c r="K44" s="29">
        <v>6272</v>
      </c>
    </row>
    <row r="45" spans="1:11" x14ac:dyDescent="0.3">
      <c r="A45" s="13" t="s">
        <v>44</v>
      </c>
      <c r="B45" s="29">
        <v>744</v>
      </c>
      <c r="C45" s="29">
        <v>713</v>
      </c>
      <c r="D45" s="29">
        <v>90</v>
      </c>
      <c r="E45" s="29">
        <v>98</v>
      </c>
      <c r="F45" s="29">
        <v>1645</v>
      </c>
      <c r="J45" s="13" t="s">
        <v>2562</v>
      </c>
      <c r="K45" s="29">
        <v>4672</v>
      </c>
    </row>
    <row r="46" spans="1:11" x14ac:dyDescent="0.3">
      <c r="A46" s="13" t="s">
        <v>39</v>
      </c>
      <c r="B46" s="29">
        <v>716</v>
      </c>
      <c r="C46" s="29">
        <v>598</v>
      </c>
      <c r="D46" s="29">
        <v>18</v>
      </c>
      <c r="E46" s="29">
        <v>214</v>
      </c>
      <c r="F46" s="29">
        <v>1546</v>
      </c>
      <c r="J46" s="13" t="s">
        <v>2564</v>
      </c>
      <c r="K46" s="29">
        <v>317</v>
      </c>
    </row>
    <row r="47" spans="1:11" x14ac:dyDescent="0.3">
      <c r="A47" s="13" t="s">
        <v>26</v>
      </c>
      <c r="B47" s="29">
        <v>627</v>
      </c>
      <c r="C47" s="29">
        <v>393</v>
      </c>
      <c r="D47" s="29">
        <v>29</v>
      </c>
      <c r="E47" s="29">
        <v>137</v>
      </c>
      <c r="F47" s="29">
        <v>1186</v>
      </c>
      <c r="J47" s="13" t="s">
        <v>2561</v>
      </c>
      <c r="K47" s="29">
        <v>736</v>
      </c>
    </row>
    <row r="48" spans="1:11" x14ac:dyDescent="0.3">
      <c r="A48" s="13" t="s">
        <v>22</v>
      </c>
      <c r="B48" s="29">
        <v>568</v>
      </c>
      <c r="C48" s="29">
        <v>306</v>
      </c>
      <c r="D48" s="29">
        <v>22</v>
      </c>
      <c r="E48" s="29">
        <v>16</v>
      </c>
      <c r="F48" s="29">
        <v>912</v>
      </c>
      <c r="J48" s="13" t="s">
        <v>2566</v>
      </c>
      <c r="K48" s="29">
        <v>11997</v>
      </c>
    </row>
    <row r="49" spans="1:6" x14ac:dyDescent="0.3">
      <c r="A49" s="13" t="s">
        <v>54</v>
      </c>
      <c r="B49" s="29">
        <v>482</v>
      </c>
      <c r="C49" s="29">
        <v>295</v>
      </c>
      <c r="D49" s="29">
        <v>8</v>
      </c>
      <c r="E49" s="29">
        <v>22</v>
      </c>
      <c r="F49" s="29">
        <v>807</v>
      </c>
    </row>
    <row r="50" spans="1:6" x14ac:dyDescent="0.3">
      <c r="A50" s="13" t="s">
        <v>16</v>
      </c>
      <c r="B50" s="29">
        <v>428</v>
      </c>
      <c r="C50" s="29">
        <v>293</v>
      </c>
      <c r="D50" s="29"/>
      <c r="E50" s="29">
        <v>24</v>
      </c>
      <c r="F50" s="29">
        <v>745</v>
      </c>
    </row>
    <row r="51" spans="1:6" x14ac:dyDescent="0.3">
      <c r="A51" s="13" t="s">
        <v>46</v>
      </c>
      <c r="B51" s="29">
        <v>445</v>
      </c>
      <c r="C51" s="29">
        <v>202</v>
      </c>
      <c r="D51" s="29">
        <v>14</v>
      </c>
      <c r="E51" s="29">
        <v>39</v>
      </c>
      <c r="F51" s="29">
        <v>700</v>
      </c>
    </row>
    <row r="52" spans="1:6" x14ac:dyDescent="0.3">
      <c r="A52" s="13" t="s">
        <v>32</v>
      </c>
      <c r="B52" s="29">
        <v>431</v>
      </c>
      <c r="C52" s="29">
        <v>187</v>
      </c>
      <c r="D52" s="29">
        <v>14</v>
      </c>
      <c r="E52" s="29">
        <v>15</v>
      </c>
      <c r="F52" s="29">
        <v>647</v>
      </c>
    </row>
    <row r="53" spans="1:6" x14ac:dyDescent="0.3">
      <c r="A53" s="13" t="s">
        <v>42</v>
      </c>
      <c r="B53" s="29">
        <v>264</v>
      </c>
      <c r="C53" s="29">
        <v>318</v>
      </c>
      <c r="D53" s="29">
        <v>15</v>
      </c>
      <c r="E53" s="29">
        <v>9</v>
      </c>
      <c r="F53" s="29">
        <v>606</v>
      </c>
    </row>
    <row r="54" spans="1:6" x14ac:dyDescent="0.3">
      <c r="A54" s="13" t="s">
        <v>37</v>
      </c>
      <c r="B54" s="29">
        <v>296</v>
      </c>
      <c r="C54" s="29">
        <v>275</v>
      </c>
      <c r="D54" s="29">
        <v>9</v>
      </c>
      <c r="E54" s="29">
        <v>23</v>
      </c>
      <c r="F54" s="29">
        <v>603</v>
      </c>
    </row>
    <row r="55" spans="1:6" x14ac:dyDescent="0.3">
      <c r="A55" s="13" t="s">
        <v>123</v>
      </c>
      <c r="B55" s="29">
        <v>153</v>
      </c>
      <c r="C55" s="29">
        <v>246</v>
      </c>
      <c r="D55" s="29">
        <v>30</v>
      </c>
      <c r="E55" s="29">
        <v>8</v>
      </c>
      <c r="F55" s="29">
        <v>437</v>
      </c>
    </row>
    <row r="56" spans="1:6" x14ac:dyDescent="0.3">
      <c r="A56" s="13" t="s">
        <v>146</v>
      </c>
      <c r="B56" s="29">
        <v>189</v>
      </c>
      <c r="C56" s="29">
        <v>168</v>
      </c>
      <c r="D56" s="29">
        <v>10</v>
      </c>
      <c r="E56" s="29">
        <v>31</v>
      </c>
      <c r="F56" s="29">
        <v>398</v>
      </c>
    </row>
    <row r="57" spans="1:6" x14ac:dyDescent="0.3">
      <c r="A57" s="13" t="s">
        <v>69</v>
      </c>
      <c r="B57" s="29">
        <v>234</v>
      </c>
      <c r="C57" s="29">
        <v>93</v>
      </c>
      <c r="D57" s="29">
        <v>19</v>
      </c>
      <c r="E57" s="29">
        <v>24</v>
      </c>
      <c r="F57" s="29">
        <v>370</v>
      </c>
    </row>
    <row r="58" spans="1:6" x14ac:dyDescent="0.3">
      <c r="A58" s="13" t="s">
        <v>30</v>
      </c>
      <c r="B58" s="29">
        <v>146</v>
      </c>
      <c r="C58" s="29">
        <v>94</v>
      </c>
      <c r="D58" s="29">
        <v>4</v>
      </c>
      <c r="E58" s="29">
        <v>28</v>
      </c>
      <c r="F58" s="29">
        <v>272</v>
      </c>
    </row>
    <row r="59" spans="1:6" x14ac:dyDescent="0.3">
      <c r="A59" s="13" t="s">
        <v>135</v>
      </c>
      <c r="B59" s="29">
        <v>127</v>
      </c>
      <c r="C59" s="29">
        <v>118</v>
      </c>
      <c r="D59" s="29">
        <v>13</v>
      </c>
      <c r="E59" s="29">
        <v>12</v>
      </c>
      <c r="F59" s="29">
        <v>270</v>
      </c>
    </row>
    <row r="60" spans="1:6" x14ac:dyDescent="0.3">
      <c r="A60" s="13" t="s">
        <v>67</v>
      </c>
      <c r="B60" s="29">
        <v>179</v>
      </c>
      <c r="C60" s="29">
        <v>76</v>
      </c>
      <c r="D60" s="29">
        <v>3</v>
      </c>
      <c r="E60" s="29"/>
      <c r="F60" s="29">
        <v>258</v>
      </c>
    </row>
    <row r="61" spans="1:6" x14ac:dyDescent="0.3">
      <c r="A61" s="13" t="s">
        <v>128</v>
      </c>
      <c r="B61" s="29">
        <v>99</v>
      </c>
      <c r="C61" s="29">
        <v>69</v>
      </c>
      <c r="D61" s="29">
        <v>3</v>
      </c>
      <c r="E61" s="29">
        <v>24</v>
      </c>
      <c r="F61" s="29">
        <v>195</v>
      </c>
    </row>
    <row r="62" spans="1:6" x14ac:dyDescent="0.3">
      <c r="A62" s="13" t="s">
        <v>76</v>
      </c>
      <c r="B62" s="29">
        <v>75</v>
      </c>
      <c r="C62" s="29">
        <v>103</v>
      </c>
      <c r="D62" s="29">
        <v>4</v>
      </c>
      <c r="E62" s="29">
        <v>6</v>
      </c>
      <c r="F62" s="29">
        <v>188</v>
      </c>
    </row>
    <row r="63" spans="1:6" x14ac:dyDescent="0.3">
      <c r="A63" s="13" t="s">
        <v>81</v>
      </c>
      <c r="B63" s="29">
        <v>43</v>
      </c>
      <c r="C63" s="29">
        <v>90</v>
      </c>
      <c r="D63" s="29">
        <v>8</v>
      </c>
      <c r="E63" s="29">
        <v>6</v>
      </c>
      <c r="F63" s="29">
        <v>147</v>
      </c>
    </row>
    <row r="64" spans="1:6" x14ac:dyDescent="0.3">
      <c r="A64" s="13" t="s">
        <v>171</v>
      </c>
      <c r="B64" s="29">
        <v>26</v>
      </c>
      <c r="C64" s="29">
        <v>35</v>
      </c>
      <c r="D64" s="29">
        <v>4</v>
      </c>
      <c r="E64" s="29"/>
      <c r="F64" s="29">
        <v>65</v>
      </c>
    </row>
    <row r="65" spans="1:12" x14ac:dyDescent="0.3">
      <c r="A65" s="13" t="s">
        <v>2566</v>
      </c>
      <c r="B65" s="29">
        <v>6272</v>
      </c>
      <c r="C65" s="29">
        <v>4672</v>
      </c>
      <c r="D65" s="29">
        <v>317</v>
      </c>
      <c r="E65" s="29">
        <v>736</v>
      </c>
      <c r="F65" s="29">
        <v>11997</v>
      </c>
    </row>
    <row r="70" spans="1:12" x14ac:dyDescent="0.3">
      <c r="F70" t="s">
        <v>2575</v>
      </c>
      <c r="J70" t="s">
        <v>2576</v>
      </c>
    </row>
    <row r="71" spans="1:12" x14ac:dyDescent="0.3">
      <c r="A71" s="12" t="s">
        <v>10</v>
      </c>
      <c r="B71" s="12" t="s">
        <v>11</v>
      </c>
      <c r="C71" t="s">
        <v>2553</v>
      </c>
      <c r="D71" t="s">
        <v>2554</v>
      </c>
      <c r="F71" s="23" t="s">
        <v>10</v>
      </c>
      <c r="G71" s="24" t="s">
        <v>11</v>
      </c>
      <c r="H71" s="25" t="s">
        <v>2558</v>
      </c>
      <c r="J71" t="s">
        <v>10</v>
      </c>
      <c r="K71" t="s">
        <v>11</v>
      </c>
      <c r="L71" t="s">
        <v>4</v>
      </c>
    </row>
    <row r="72" spans="1:12" x14ac:dyDescent="0.3">
      <c r="A72" t="s">
        <v>19</v>
      </c>
      <c r="B72" t="s">
        <v>115</v>
      </c>
      <c r="C72" s="29">
        <v>579</v>
      </c>
      <c r="D72" s="29">
        <v>31884.999999999996</v>
      </c>
      <c r="F72" s="21" t="str">
        <f>A72</f>
        <v>California</v>
      </c>
      <c r="G72" s="16" t="str">
        <f t="shared" ref="G72:H87" si="1">B72</f>
        <v>Alameda County</v>
      </c>
      <c r="H72" s="22">
        <f t="shared" si="1"/>
        <v>579</v>
      </c>
      <c r="J72" t="str">
        <f>A72</f>
        <v>California</v>
      </c>
      <c r="K72" t="str">
        <f>B72</f>
        <v>Alameda County</v>
      </c>
      <c r="L72">
        <f>D72</f>
        <v>31884.999999999996</v>
      </c>
    </row>
    <row r="73" spans="1:12" x14ac:dyDescent="0.3">
      <c r="A73" t="s">
        <v>19</v>
      </c>
      <c r="B73" t="s">
        <v>20</v>
      </c>
      <c r="C73" s="29">
        <v>1</v>
      </c>
      <c r="D73" s="29">
        <v>10.9</v>
      </c>
      <c r="F73" s="21" t="str">
        <f t="shared" ref="F73:F129" si="2">A73</f>
        <v>California</v>
      </c>
      <c r="G73" s="16" t="str">
        <f t="shared" si="1"/>
        <v>Alpine County</v>
      </c>
      <c r="H73" s="22">
        <f t="shared" si="1"/>
        <v>1</v>
      </c>
      <c r="J73" t="str">
        <f t="shared" ref="J73:J129" si="3">A73</f>
        <v>California</v>
      </c>
      <c r="K73" t="str">
        <f t="shared" ref="K73:K129" si="4">B73</f>
        <v>Alpine County</v>
      </c>
      <c r="L73">
        <f t="shared" ref="L73:L129" si="5">D73</f>
        <v>10.9</v>
      </c>
    </row>
    <row r="74" spans="1:12" x14ac:dyDescent="0.3">
      <c r="A74" t="s">
        <v>19</v>
      </c>
      <c r="B74" t="s">
        <v>641</v>
      </c>
      <c r="C74" s="29">
        <v>9</v>
      </c>
      <c r="D74" s="29">
        <v>800.3</v>
      </c>
      <c r="F74" s="21" t="str">
        <f t="shared" si="2"/>
        <v>California</v>
      </c>
      <c r="G74" s="16" t="str">
        <f t="shared" si="1"/>
        <v>Amador County</v>
      </c>
      <c r="H74" s="22">
        <f t="shared" si="1"/>
        <v>9</v>
      </c>
      <c r="J74" t="str">
        <f t="shared" si="3"/>
        <v>California</v>
      </c>
      <c r="K74" t="str">
        <f t="shared" si="4"/>
        <v>Amador County</v>
      </c>
      <c r="L74">
        <f t="shared" si="5"/>
        <v>800.3</v>
      </c>
    </row>
    <row r="75" spans="1:12" x14ac:dyDescent="0.3">
      <c r="A75" t="s">
        <v>19</v>
      </c>
      <c r="B75" t="s">
        <v>967</v>
      </c>
      <c r="C75" s="29">
        <v>35</v>
      </c>
      <c r="D75" s="29">
        <v>1062.5999999999999</v>
      </c>
      <c r="F75" s="21" t="str">
        <f t="shared" si="2"/>
        <v>California</v>
      </c>
      <c r="G75" s="16" t="str">
        <f t="shared" si="1"/>
        <v>Butte County</v>
      </c>
      <c r="H75" s="22">
        <f t="shared" si="1"/>
        <v>35</v>
      </c>
      <c r="J75" t="str">
        <f t="shared" si="3"/>
        <v>California</v>
      </c>
      <c r="K75" t="str">
        <f t="shared" si="4"/>
        <v>Butte County</v>
      </c>
      <c r="L75">
        <f t="shared" si="5"/>
        <v>1062.5999999999999</v>
      </c>
    </row>
    <row r="76" spans="1:12" x14ac:dyDescent="0.3">
      <c r="A76" t="s">
        <v>19</v>
      </c>
      <c r="B76" t="s">
        <v>84</v>
      </c>
      <c r="C76" s="29">
        <v>12</v>
      </c>
      <c r="D76" s="29">
        <v>326.20000000000005</v>
      </c>
      <c r="F76" s="21" t="str">
        <f t="shared" si="2"/>
        <v>California</v>
      </c>
      <c r="G76" s="16" t="str">
        <f t="shared" si="1"/>
        <v>Calaveras County</v>
      </c>
      <c r="H76" s="22">
        <f t="shared" si="1"/>
        <v>12</v>
      </c>
      <c r="J76" t="str">
        <f t="shared" si="3"/>
        <v>California</v>
      </c>
      <c r="K76" t="str">
        <f t="shared" si="4"/>
        <v>Calaveras County</v>
      </c>
      <c r="L76">
        <f t="shared" si="5"/>
        <v>326.20000000000005</v>
      </c>
    </row>
    <row r="77" spans="1:12" x14ac:dyDescent="0.3">
      <c r="A77" t="s">
        <v>19</v>
      </c>
      <c r="B77" t="s">
        <v>1383</v>
      </c>
      <c r="C77" s="29">
        <v>4</v>
      </c>
      <c r="D77" s="29">
        <v>167.5</v>
      </c>
      <c r="F77" s="21" t="str">
        <f t="shared" si="2"/>
        <v>California</v>
      </c>
      <c r="G77" s="16" t="str">
        <f t="shared" si="1"/>
        <v>Colusa County</v>
      </c>
      <c r="H77" s="22">
        <f t="shared" si="1"/>
        <v>4</v>
      </c>
      <c r="J77" t="str">
        <f t="shared" si="3"/>
        <v>California</v>
      </c>
      <c r="K77" t="str">
        <f t="shared" si="4"/>
        <v>Colusa County</v>
      </c>
      <c r="L77">
        <f t="shared" si="5"/>
        <v>167.5</v>
      </c>
    </row>
    <row r="78" spans="1:12" x14ac:dyDescent="0.3">
      <c r="A78" t="s">
        <v>19</v>
      </c>
      <c r="B78" t="s">
        <v>24</v>
      </c>
      <c r="C78" s="29">
        <v>341</v>
      </c>
      <c r="D78" s="29">
        <v>16168.7</v>
      </c>
      <c r="F78" s="21" t="str">
        <f t="shared" si="2"/>
        <v>California</v>
      </c>
      <c r="G78" s="16" t="str">
        <f t="shared" si="1"/>
        <v>Contra Costa County</v>
      </c>
      <c r="H78" s="22">
        <f t="shared" si="1"/>
        <v>341</v>
      </c>
      <c r="J78" t="str">
        <f t="shared" si="3"/>
        <v>California</v>
      </c>
      <c r="K78" t="str">
        <f t="shared" si="4"/>
        <v>Contra Costa County</v>
      </c>
      <c r="L78">
        <f t="shared" si="5"/>
        <v>16168.7</v>
      </c>
    </row>
    <row r="79" spans="1:12" x14ac:dyDescent="0.3">
      <c r="A79" t="s">
        <v>19</v>
      </c>
      <c r="B79" t="s">
        <v>2204</v>
      </c>
      <c r="C79" s="29">
        <v>13</v>
      </c>
      <c r="D79" s="29">
        <v>322.40000000000003</v>
      </c>
      <c r="F79" s="21" t="str">
        <f t="shared" si="2"/>
        <v>California</v>
      </c>
      <c r="G79" s="16" t="str">
        <f t="shared" si="1"/>
        <v>Del Norte County</v>
      </c>
      <c r="H79" s="22">
        <f t="shared" si="1"/>
        <v>13</v>
      </c>
      <c r="J79" t="str">
        <f t="shared" si="3"/>
        <v>California</v>
      </c>
      <c r="K79" t="str">
        <f t="shared" si="4"/>
        <v>Del Norte County</v>
      </c>
      <c r="L79">
        <f t="shared" si="5"/>
        <v>322.40000000000003</v>
      </c>
    </row>
    <row r="80" spans="1:12" x14ac:dyDescent="0.3">
      <c r="A80" t="s">
        <v>19</v>
      </c>
      <c r="B80" t="s">
        <v>437</v>
      </c>
      <c r="C80" s="29">
        <v>31</v>
      </c>
      <c r="D80" s="29">
        <v>2092.8000000000002</v>
      </c>
      <c r="F80" s="21" t="str">
        <f t="shared" si="2"/>
        <v>California</v>
      </c>
      <c r="G80" s="16" t="str">
        <f t="shared" si="1"/>
        <v>El Dorado County</v>
      </c>
      <c r="H80" s="22">
        <f t="shared" si="1"/>
        <v>31</v>
      </c>
      <c r="J80" t="str">
        <f t="shared" si="3"/>
        <v>California</v>
      </c>
      <c r="K80" t="str">
        <f t="shared" si="4"/>
        <v>El Dorado County</v>
      </c>
      <c r="L80">
        <f t="shared" si="5"/>
        <v>2092.8000000000002</v>
      </c>
    </row>
    <row r="81" spans="1:12" x14ac:dyDescent="0.3">
      <c r="A81" t="s">
        <v>19</v>
      </c>
      <c r="B81" t="s">
        <v>28</v>
      </c>
      <c r="C81" s="29">
        <v>279</v>
      </c>
      <c r="D81" s="29">
        <v>12662.500000000002</v>
      </c>
      <c r="F81" s="21" t="str">
        <f t="shared" si="2"/>
        <v>California</v>
      </c>
      <c r="G81" s="16" t="str">
        <f t="shared" si="1"/>
        <v>Fresno County</v>
      </c>
      <c r="H81" s="22">
        <f t="shared" si="1"/>
        <v>279</v>
      </c>
      <c r="J81" t="str">
        <f t="shared" si="3"/>
        <v>California</v>
      </c>
      <c r="K81" t="str">
        <f t="shared" si="4"/>
        <v>Fresno County</v>
      </c>
      <c r="L81">
        <f t="shared" si="5"/>
        <v>12662.500000000002</v>
      </c>
    </row>
    <row r="82" spans="1:12" x14ac:dyDescent="0.3">
      <c r="A82" t="s">
        <v>19</v>
      </c>
      <c r="B82" t="s">
        <v>208</v>
      </c>
      <c r="C82" s="29">
        <v>9</v>
      </c>
      <c r="D82" s="29">
        <v>343.2</v>
      </c>
      <c r="F82" s="21" t="str">
        <f t="shared" si="2"/>
        <v>California</v>
      </c>
      <c r="G82" s="16" t="str">
        <f t="shared" si="1"/>
        <v>Glenn County</v>
      </c>
      <c r="H82" s="22">
        <f t="shared" si="1"/>
        <v>9</v>
      </c>
      <c r="J82" t="str">
        <f t="shared" si="3"/>
        <v>California</v>
      </c>
      <c r="K82" t="str">
        <f t="shared" si="4"/>
        <v>Glenn County</v>
      </c>
      <c r="L82">
        <f t="shared" si="5"/>
        <v>343.2</v>
      </c>
    </row>
    <row r="83" spans="1:12" x14ac:dyDescent="0.3">
      <c r="A83" t="s">
        <v>19</v>
      </c>
      <c r="B83" t="s">
        <v>587</v>
      </c>
      <c r="C83" s="29">
        <v>49</v>
      </c>
      <c r="D83" s="29">
        <v>2188.2999999999997</v>
      </c>
      <c r="F83" s="21" t="str">
        <f t="shared" si="2"/>
        <v>California</v>
      </c>
      <c r="G83" s="16" t="str">
        <f t="shared" si="1"/>
        <v>Humboldt County</v>
      </c>
      <c r="H83" s="22">
        <f t="shared" si="1"/>
        <v>49</v>
      </c>
      <c r="J83" t="str">
        <f t="shared" si="3"/>
        <v>California</v>
      </c>
      <c r="K83" t="str">
        <f t="shared" si="4"/>
        <v>Humboldt County</v>
      </c>
      <c r="L83">
        <f t="shared" si="5"/>
        <v>2188.2999999999997</v>
      </c>
    </row>
    <row r="84" spans="1:12" x14ac:dyDescent="0.3">
      <c r="A84" t="s">
        <v>19</v>
      </c>
      <c r="B84" t="s">
        <v>331</v>
      </c>
      <c r="C84" s="29">
        <v>59</v>
      </c>
      <c r="D84" s="29">
        <v>2661.5999999999995</v>
      </c>
      <c r="F84" s="21" t="str">
        <f t="shared" si="2"/>
        <v>California</v>
      </c>
      <c r="G84" s="16" t="str">
        <f t="shared" si="1"/>
        <v>Imperial County</v>
      </c>
      <c r="H84" s="22">
        <f t="shared" si="1"/>
        <v>59</v>
      </c>
      <c r="J84" t="str">
        <f t="shared" si="3"/>
        <v>California</v>
      </c>
      <c r="K84" t="str">
        <f t="shared" si="4"/>
        <v>Imperial County</v>
      </c>
      <c r="L84">
        <f t="shared" si="5"/>
        <v>2661.5999999999995</v>
      </c>
    </row>
    <row r="85" spans="1:12" x14ac:dyDescent="0.3">
      <c r="A85" t="s">
        <v>19</v>
      </c>
      <c r="B85" t="s">
        <v>86</v>
      </c>
      <c r="C85" s="29">
        <v>8</v>
      </c>
      <c r="D85" s="29">
        <v>887.5</v>
      </c>
      <c r="F85" s="21" t="str">
        <f t="shared" si="2"/>
        <v>California</v>
      </c>
      <c r="G85" s="16" t="str">
        <f t="shared" si="1"/>
        <v>Inyo County</v>
      </c>
      <c r="H85" s="22">
        <f t="shared" si="1"/>
        <v>8</v>
      </c>
      <c r="J85" t="str">
        <f t="shared" si="3"/>
        <v>California</v>
      </c>
      <c r="K85" t="str">
        <f t="shared" si="4"/>
        <v>Inyo County</v>
      </c>
      <c r="L85">
        <f t="shared" si="5"/>
        <v>887.5</v>
      </c>
    </row>
    <row r="86" spans="1:12" x14ac:dyDescent="0.3">
      <c r="A86" t="s">
        <v>19</v>
      </c>
      <c r="B86" t="s">
        <v>147</v>
      </c>
      <c r="C86" s="29">
        <v>222</v>
      </c>
      <c r="D86" s="29">
        <v>11354.199999999993</v>
      </c>
      <c r="F86" s="21" t="str">
        <f t="shared" si="2"/>
        <v>California</v>
      </c>
      <c r="G86" s="16" t="str">
        <f t="shared" si="1"/>
        <v>Kern County</v>
      </c>
      <c r="H86" s="22">
        <f t="shared" si="1"/>
        <v>222</v>
      </c>
      <c r="J86" t="str">
        <f t="shared" si="3"/>
        <v>California</v>
      </c>
      <c r="K86" t="str">
        <f t="shared" si="4"/>
        <v>Kern County</v>
      </c>
      <c r="L86">
        <f t="shared" si="5"/>
        <v>11354.199999999993</v>
      </c>
    </row>
    <row r="87" spans="1:12" x14ac:dyDescent="0.3">
      <c r="A87" t="s">
        <v>19</v>
      </c>
      <c r="B87" t="s">
        <v>334</v>
      </c>
      <c r="C87" s="29">
        <v>36</v>
      </c>
      <c r="D87" s="29">
        <v>1558.4</v>
      </c>
      <c r="F87" s="21" t="str">
        <f t="shared" si="2"/>
        <v>California</v>
      </c>
      <c r="G87" s="16" t="str">
        <f t="shared" si="1"/>
        <v>Kings County</v>
      </c>
      <c r="H87" s="22">
        <f t="shared" si="1"/>
        <v>36</v>
      </c>
      <c r="J87" t="str">
        <f t="shared" si="3"/>
        <v>California</v>
      </c>
      <c r="K87" t="str">
        <f t="shared" si="4"/>
        <v>Kings County</v>
      </c>
      <c r="L87">
        <f t="shared" si="5"/>
        <v>1558.4</v>
      </c>
    </row>
    <row r="88" spans="1:12" x14ac:dyDescent="0.3">
      <c r="A88" t="s">
        <v>19</v>
      </c>
      <c r="B88" t="s">
        <v>949</v>
      </c>
      <c r="C88" s="29">
        <v>30</v>
      </c>
      <c r="D88" s="29">
        <v>2223.9</v>
      </c>
      <c r="F88" s="21" t="str">
        <f t="shared" si="2"/>
        <v>California</v>
      </c>
      <c r="G88" s="16" t="str">
        <f t="shared" ref="G88:G129" si="6">B88</f>
        <v>Lake County</v>
      </c>
      <c r="H88" s="22">
        <f t="shared" ref="H88:H129" si="7">C88</f>
        <v>30</v>
      </c>
      <c r="J88" t="str">
        <f t="shared" si="3"/>
        <v>California</v>
      </c>
      <c r="K88" t="str">
        <f t="shared" si="4"/>
        <v>Lake County</v>
      </c>
      <c r="L88">
        <f t="shared" si="5"/>
        <v>2223.9</v>
      </c>
    </row>
    <row r="89" spans="1:12" x14ac:dyDescent="0.3">
      <c r="A89" t="s">
        <v>19</v>
      </c>
      <c r="B89" t="s">
        <v>1426</v>
      </c>
      <c r="C89" s="29">
        <v>1</v>
      </c>
      <c r="D89" s="29">
        <v>26.2</v>
      </c>
      <c r="F89" s="21" t="str">
        <f t="shared" si="2"/>
        <v>California</v>
      </c>
      <c r="G89" s="16" t="str">
        <f t="shared" si="6"/>
        <v>Lassen County</v>
      </c>
      <c r="H89" s="22">
        <f t="shared" si="7"/>
        <v>1</v>
      </c>
      <c r="J89" t="str">
        <f t="shared" si="3"/>
        <v>California</v>
      </c>
      <c r="K89" t="str">
        <f t="shared" si="4"/>
        <v>Lassen County</v>
      </c>
      <c r="L89">
        <f t="shared" si="5"/>
        <v>26.2</v>
      </c>
    </row>
    <row r="90" spans="1:12" x14ac:dyDescent="0.3">
      <c r="A90" t="s">
        <v>19</v>
      </c>
      <c r="B90" t="s">
        <v>33</v>
      </c>
      <c r="C90" s="29">
        <v>3991</v>
      </c>
      <c r="D90" s="29">
        <v>215551.19999999981</v>
      </c>
      <c r="F90" s="21" t="str">
        <f t="shared" si="2"/>
        <v>California</v>
      </c>
      <c r="G90" s="16" t="str">
        <f t="shared" si="6"/>
        <v>Los Angeles County</v>
      </c>
      <c r="H90" s="22">
        <f t="shared" si="7"/>
        <v>3991</v>
      </c>
      <c r="J90" t="str">
        <f t="shared" si="3"/>
        <v>California</v>
      </c>
      <c r="K90" t="str">
        <f t="shared" si="4"/>
        <v>Los Angeles County</v>
      </c>
      <c r="L90">
        <f t="shared" si="5"/>
        <v>215551.19999999981</v>
      </c>
    </row>
    <row r="91" spans="1:12" x14ac:dyDescent="0.3">
      <c r="A91" t="s">
        <v>19</v>
      </c>
      <c r="B91" t="s">
        <v>364</v>
      </c>
      <c r="C91" s="29">
        <v>45</v>
      </c>
      <c r="D91" s="29">
        <v>2687.3999999999996</v>
      </c>
      <c r="F91" s="21" t="str">
        <f t="shared" si="2"/>
        <v>California</v>
      </c>
      <c r="G91" s="16" t="str">
        <f t="shared" si="6"/>
        <v>Madera County</v>
      </c>
      <c r="H91" s="22">
        <f t="shared" si="7"/>
        <v>45</v>
      </c>
      <c r="J91" t="str">
        <f t="shared" si="3"/>
        <v>California</v>
      </c>
      <c r="K91" t="str">
        <f t="shared" si="4"/>
        <v>Madera County</v>
      </c>
      <c r="L91">
        <f t="shared" si="5"/>
        <v>2687.3999999999996</v>
      </c>
    </row>
    <row r="92" spans="1:12" x14ac:dyDescent="0.3">
      <c r="A92" t="s">
        <v>19</v>
      </c>
      <c r="B92" t="s">
        <v>545</v>
      </c>
      <c r="C92" s="29">
        <v>39</v>
      </c>
      <c r="D92" s="29">
        <v>1463.3000000000002</v>
      </c>
      <c r="F92" s="21" t="str">
        <f t="shared" si="2"/>
        <v>California</v>
      </c>
      <c r="G92" s="16" t="str">
        <f t="shared" si="6"/>
        <v>Marin County</v>
      </c>
      <c r="H92" s="22">
        <f t="shared" si="7"/>
        <v>39</v>
      </c>
      <c r="J92" t="str">
        <f t="shared" si="3"/>
        <v>California</v>
      </c>
      <c r="K92" t="str">
        <f t="shared" si="4"/>
        <v>Marin County</v>
      </c>
      <c r="L92">
        <f t="shared" si="5"/>
        <v>1463.3000000000002</v>
      </c>
    </row>
    <row r="93" spans="1:12" x14ac:dyDescent="0.3">
      <c r="A93" t="s">
        <v>19</v>
      </c>
      <c r="B93" t="s">
        <v>416</v>
      </c>
      <c r="C93" s="29">
        <v>6</v>
      </c>
      <c r="D93" s="29">
        <v>445.79999999999995</v>
      </c>
      <c r="F93" s="21" t="str">
        <f t="shared" si="2"/>
        <v>California</v>
      </c>
      <c r="G93" s="16" t="str">
        <f t="shared" si="6"/>
        <v>Mariposa County</v>
      </c>
      <c r="H93" s="22">
        <f t="shared" si="7"/>
        <v>6</v>
      </c>
      <c r="J93" t="str">
        <f t="shared" si="3"/>
        <v>California</v>
      </c>
      <c r="K93" t="str">
        <f t="shared" si="4"/>
        <v>Mariposa County</v>
      </c>
      <c r="L93">
        <f t="shared" si="5"/>
        <v>445.79999999999995</v>
      </c>
    </row>
    <row r="94" spans="1:12" x14ac:dyDescent="0.3">
      <c r="A94" t="s">
        <v>19</v>
      </c>
      <c r="B94" t="s">
        <v>258</v>
      </c>
      <c r="C94" s="29">
        <v>9</v>
      </c>
      <c r="D94" s="29">
        <v>273.59999999999997</v>
      </c>
      <c r="F94" s="21" t="str">
        <f t="shared" si="2"/>
        <v>California</v>
      </c>
      <c r="G94" s="16" t="str">
        <f t="shared" si="6"/>
        <v>Mendocino County</v>
      </c>
      <c r="H94" s="22">
        <f t="shared" si="7"/>
        <v>9</v>
      </c>
      <c r="J94" t="str">
        <f t="shared" si="3"/>
        <v>California</v>
      </c>
      <c r="K94" t="str">
        <f t="shared" si="4"/>
        <v>Mendocino County</v>
      </c>
      <c r="L94">
        <f t="shared" si="5"/>
        <v>273.59999999999997</v>
      </c>
    </row>
    <row r="95" spans="1:12" x14ac:dyDescent="0.3">
      <c r="A95" t="s">
        <v>19</v>
      </c>
      <c r="B95" t="s">
        <v>186</v>
      </c>
      <c r="C95" s="29">
        <v>60</v>
      </c>
      <c r="D95" s="29">
        <v>2690.4</v>
      </c>
      <c r="F95" s="21" t="str">
        <f t="shared" si="2"/>
        <v>California</v>
      </c>
      <c r="G95" s="16" t="str">
        <f t="shared" si="6"/>
        <v>Merced County</v>
      </c>
      <c r="H95" s="22">
        <f t="shared" si="7"/>
        <v>60</v>
      </c>
      <c r="J95" t="str">
        <f t="shared" si="3"/>
        <v>California</v>
      </c>
      <c r="K95" t="str">
        <f t="shared" si="4"/>
        <v>Merced County</v>
      </c>
      <c r="L95">
        <f t="shared" si="5"/>
        <v>2690.4</v>
      </c>
    </row>
    <row r="96" spans="1:12" x14ac:dyDescent="0.3">
      <c r="A96" t="s">
        <v>19</v>
      </c>
      <c r="B96" t="s">
        <v>392</v>
      </c>
      <c r="C96" s="29">
        <v>2</v>
      </c>
      <c r="D96" s="29">
        <v>28.4</v>
      </c>
      <c r="F96" s="21" t="str">
        <f t="shared" si="2"/>
        <v>California</v>
      </c>
      <c r="G96" s="16" t="str">
        <f t="shared" si="6"/>
        <v>Modoc County</v>
      </c>
      <c r="H96" s="22">
        <f t="shared" si="7"/>
        <v>2</v>
      </c>
      <c r="J96" t="str">
        <f t="shared" si="3"/>
        <v>California</v>
      </c>
      <c r="K96" t="str">
        <f t="shared" si="4"/>
        <v>Modoc County</v>
      </c>
      <c r="L96">
        <f t="shared" si="5"/>
        <v>28.4</v>
      </c>
    </row>
    <row r="97" spans="1:12" x14ac:dyDescent="0.3">
      <c r="A97" t="s">
        <v>19</v>
      </c>
      <c r="B97" t="s">
        <v>670</v>
      </c>
      <c r="C97" s="29">
        <v>4</v>
      </c>
      <c r="D97" s="29">
        <v>204.8</v>
      </c>
      <c r="F97" s="21" t="str">
        <f t="shared" si="2"/>
        <v>California</v>
      </c>
      <c r="G97" s="16" t="str">
        <f t="shared" si="6"/>
        <v>Mono County</v>
      </c>
      <c r="H97" s="22">
        <f t="shared" si="7"/>
        <v>4</v>
      </c>
      <c r="J97" t="str">
        <f t="shared" si="3"/>
        <v>California</v>
      </c>
      <c r="K97" t="str">
        <f t="shared" si="4"/>
        <v>Mono County</v>
      </c>
      <c r="L97">
        <f t="shared" si="5"/>
        <v>204.8</v>
      </c>
    </row>
    <row r="98" spans="1:12" x14ac:dyDescent="0.3">
      <c r="A98" t="s">
        <v>19</v>
      </c>
      <c r="B98" t="s">
        <v>802</v>
      </c>
      <c r="C98" s="29">
        <v>31</v>
      </c>
      <c r="D98" s="29">
        <v>1607.8999999999999</v>
      </c>
      <c r="F98" s="21" t="str">
        <f t="shared" si="2"/>
        <v>California</v>
      </c>
      <c r="G98" s="16" t="str">
        <f t="shared" si="6"/>
        <v>Monterey County</v>
      </c>
      <c r="H98" s="22">
        <f t="shared" si="7"/>
        <v>31</v>
      </c>
      <c r="J98" t="str">
        <f t="shared" si="3"/>
        <v>California</v>
      </c>
      <c r="K98" t="str">
        <f t="shared" si="4"/>
        <v>Monterey County</v>
      </c>
      <c r="L98">
        <f t="shared" si="5"/>
        <v>1607.8999999999999</v>
      </c>
    </row>
    <row r="99" spans="1:12" x14ac:dyDescent="0.3">
      <c r="A99" t="s">
        <v>19</v>
      </c>
      <c r="B99" t="s">
        <v>98</v>
      </c>
      <c r="C99" s="29">
        <v>88</v>
      </c>
      <c r="D99" s="29">
        <v>6444.9</v>
      </c>
      <c r="F99" s="21" t="str">
        <f t="shared" si="2"/>
        <v>California</v>
      </c>
      <c r="G99" s="16" t="str">
        <f t="shared" si="6"/>
        <v>Napa County</v>
      </c>
      <c r="H99" s="22">
        <f t="shared" si="7"/>
        <v>88</v>
      </c>
      <c r="J99" t="str">
        <f t="shared" si="3"/>
        <v>California</v>
      </c>
      <c r="K99" t="str">
        <f t="shared" si="4"/>
        <v>Napa County</v>
      </c>
      <c r="L99">
        <f t="shared" si="5"/>
        <v>6444.9</v>
      </c>
    </row>
    <row r="100" spans="1:12" x14ac:dyDescent="0.3">
      <c r="A100" t="s">
        <v>19</v>
      </c>
      <c r="B100" t="s">
        <v>49</v>
      </c>
      <c r="C100" s="29">
        <v>25</v>
      </c>
      <c r="D100" s="29">
        <v>1809.3</v>
      </c>
      <c r="F100" s="21" t="str">
        <f t="shared" si="2"/>
        <v>California</v>
      </c>
      <c r="G100" s="16" t="str">
        <f t="shared" si="6"/>
        <v>Nevada County</v>
      </c>
      <c r="H100" s="22">
        <f t="shared" si="7"/>
        <v>25</v>
      </c>
      <c r="J100" t="str">
        <f t="shared" si="3"/>
        <v>California</v>
      </c>
      <c r="K100" t="str">
        <f t="shared" si="4"/>
        <v>Nevada County</v>
      </c>
      <c r="L100">
        <f t="shared" si="5"/>
        <v>1809.3</v>
      </c>
    </row>
    <row r="101" spans="1:12" x14ac:dyDescent="0.3">
      <c r="A101" t="s">
        <v>19</v>
      </c>
      <c r="B101" t="s">
        <v>188</v>
      </c>
      <c r="C101" s="29">
        <v>178</v>
      </c>
      <c r="D101" s="29">
        <v>9680.399999999996</v>
      </c>
      <c r="F101" s="21" t="str">
        <f t="shared" si="2"/>
        <v>California</v>
      </c>
      <c r="G101" s="16" t="str">
        <f t="shared" si="6"/>
        <v>Orange County</v>
      </c>
      <c r="H101" s="22">
        <f t="shared" si="7"/>
        <v>178</v>
      </c>
      <c r="J101" t="str">
        <f t="shared" si="3"/>
        <v>California</v>
      </c>
      <c r="K101" t="str">
        <f t="shared" si="4"/>
        <v>Orange County</v>
      </c>
      <c r="L101">
        <f t="shared" si="5"/>
        <v>9680.399999999996</v>
      </c>
    </row>
    <row r="102" spans="1:12" x14ac:dyDescent="0.3">
      <c r="A102" t="s">
        <v>19</v>
      </c>
      <c r="B102" t="s">
        <v>52</v>
      </c>
      <c r="C102" s="29">
        <v>141</v>
      </c>
      <c r="D102" s="29">
        <v>9414.7999999999993</v>
      </c>
      <c r="F102" s="21" t="str">
        <f t="shared" si="2"/>
        <v>California</v>
      </c>
      <c r="G102" s="16" t="str">
        <f t="shared" si="6"/>
        <v>Placer County</v>
      </c>
      <c r="H102" s="22">
        <f t="shared" si="7"/>
        <v>141</v>
      </c>
      <c r="J102" t="str">
        <f t="shared" si="3"/>
        <v>California</v>
      </c>
      <c r="K102" t="str">
        <f t="shared" si="4"/>
        <v>Placer County</v>
      </c>
      <c r="L102">
        <f t="shared" si="5"/>
        <v>9414.7999999999993</v>
      </c>
    </row>
    <row r="103" spans="1:12" x14ac:dyDescent="0.3">
      <c r="A103" t="s">
        <v>19</v>
      </c>
      <c r="B103" t="s">
        <v>338</v>
      </c>
      <c r="C103" s="29">
        <v>6</v>
      </c>
      <c r="D103" s="29">
        <v>206.1</v>
      </c>
      <c r="F103" s="21" t="str">
        <f t="shared" si="2"/>
        <v>California</v>
      </c>
      <c r="G103" s="16" t="str">
        <f t="shared" si="6"/>
        <v>Plumas County</v>
      </c>
      <c r="H103" s="22">
        <f t="shared" si="7"/>
        <v>6</v>
      </c>
      <c r="J103" t="str">
        <f t="shared" si="3"/>
        <v>California</v>
      </c>
      <c r="K103" t="str">
        <f t="shared" si="4"/>
        <v>Plumas County</v>
      </c>
      <c r="L103">
        <f t="shared" si="5"/>
        <v>206.1</v>
      </c>
    </row>
    <row r="104" spans="1:12" x14ac:dyDescent="0.3">
      <c r="A104" t="s">
        <v>19</v>
      </c>
      <c r="B104" t="s">
        <v>158</v>
      </c>
      <c r="C104" s="29">
        <v>178</v>
      </c>
      <c r="D104" s="29">
        <v>7691.3</v>
      </c>
      <c r="F104" s="21" t="str">
        <f t="shared" si="2"/>
        <v>California</v>
      </c>
      <c r="G104" s="16" t="str">
        <f t="shared" si="6"/>
        <v>Riverside County</v>
      </c>
      <c r="H104" s="22">
        <f t="shared" si="7"/>
        <v>178</v>
      </c>
      <c r="J104" t="str">
        <f t="shared" si="3"/>
        <v>California</v>
      </c>
      <c r="K104" t="str">
        <f t="shared" si="4"/>
        <v>Riverside County</v>
      </c>
      <c r="L104">
        <f t="shared" si="5"/>
        <v>7691.3</v>
      </c>
    </row>
    <row r="105" spans="1:12" x14ac:dyDescent="0.3">
      <c r="A105" t="s">
        <v>19</v>
      </c>
      <c r="B105" t="s">
        <v>55</v>
      </c>
      <c r="C105" s="29">
        <v>699</v>
      </c>
      <c r="D105" s="29">
        <v>37784.900000000016</v>
      </c>
      <c r="F105" s="21" t="str">
        <f t="shared" si="2"/>
        <v>California</v>
      </c>
      <c r="G105" s="16" t="str">
        <f t="shared" si="6"/>
        <v>Sacramento County</v>
      </c>
      <c r="H105" s="22">
        <f t="shared" si="7"/>
        <v>699</v>
      </c>
      <c r="J105" t="str">
        <f t="shared" si="3"/>
        <v>California</v>
      </c>
      <c r="K105" t="str">
        <f t="shared" si="4"/>
        <v>Sacramento County</v>
      </c>
      <c r="L105">
        <f t="shared" si="5"/>
        <v>37784.900000000016</v>
      </c>
    </row>
    <row r="106" spans="1:12" x14ac:dyDescent="0.3">
      <c r="A106" t="s">
        <v>19</v>
      </c>
      <c r="B106" t="s">
        <v>342</v>
      </c>
      <c r="C106" s="29">
        <v>23</v>
      </c>
      <c r="D106" s="29">
        <v>1129.7</v>
      </c>
      <c r="F106" s="21" t="str">
        <f t="shared" si="2"/>
        <v>California</v>
      </c>
      <c r="G106" s="16" t="str">
        <f t="shared" si="6"/>
        <v>San Benito County</v>
      </c>
      <c r="H106" s="22">
        <f t="shared" si="7"/>
        <v>23</v>
      </c>
      <c r="J106" t="str">
        <f t="shared" si="3"/>
        <v>California</v>
      </c>
      <c r="K106" t="str">
        <f t="shared" si="4"/>
        <v>San Benito County</v>
      </c>
      <c r="L106">
        <f t="shared" si="5"/>
        <v>1129.7</v>
      </c>
    </row>
    <row r="107" spans="1:12" x14ac:dyDescent="0.3">
      <c r="A107" t="s">
        <v>19</v>
      </c>
      <c r="B107" t="s">
        <v>59</v>
      </c>
      <c r="C107" s="29">
        <v>356</v>
      </c>
      <c r="D107" s="29">
        <v>20988.9</v>
      </c>
      <c r="F107" s="21" t="str">
        <f t="shared" si="2"/>
        <v>California</v>
      </c>
      <c r="G107" s="16" t="str">
        <f t="shared" si="6"/>
        <v>San Bernardino County</v>
      </c>
      <c r="H107" s="22">
        <f t="shared" si="7"/>
        <v>356</v>
      </c>
      <c r="J107" t="str">
        <f t="shared" si="3"/>
        <v>California</v>
      </c>
      <c r="K107" t="str">
        <f t="shared" si="4"/>
        <v>San Bernardino County</v>
      </c>
      <c r="L107">
        <f t="shared" si="5"/>
        <v>20988.9</v>
      </c>
    </row>
    <row r="108" spans="1:12" x14ac:dyDescent="0.3">
      <c r="A108" t="s">
        <v>19</v>
      </c>
      <c r="B108" t="s">
        <v>62</v>
      </c>
      <c r="C108" s="29">
        <v>1768</v>
      </c>
      <c r="D108" s="29">
        <v>98367.099999999977</v>
      </c>
      <c r="F108" s="21" t="str">
        <f t="shared" si="2"/>
        <v>California</v>
      </c>
      <c r="G108" s="16" t="str">
        <f t="shared" si="6"/>
        <v>San Diego County</v>
      </c>
      <c r="H108" s="22">
        <f t="shared" si="7"/>
        <v>1768</v>
      </c>
      <c r="J108" t="str">
        <f t="shared" si="3"/>
        <v>California</v>
      </c>
      <c r="K108" t="str">
        <f t="shared" si="4"/>
        <v>San Diego County</v>
      </c>
      <c r="L108">
        <f t="shared" si="5"/>
        <v>98367.099999999977</v>
      </c>
    </row>
    <row r="109" spans="1:12" x14ac:dyDescent="0.3">
      <c r="A109" t="s">
        <v>19</v>
      </c>
      <c r="B109" t="s">
        <v>103</v>
      </c>
      <c r="C109" s="29">
        <v>307</v>
      </c>
      <c r="D109" s="29">
        <v>21911.9</v>
      </c>
      <c r="F109" s="21" t="str">
        <f t="shared" si="2"/>
        <v>California</v>
      </c>
      <c r="G109" s="16" t="str">
        <f t="shared" si="6"/>
        <v>San Francisco</v>
      </c>
      <c r="H109" s="22">
        <f t="shared" si="7"/>
        <v>307</v>
      </c>
      <c r="J109" t="str">
        <f t="shared" si="3"/>
        <v>California</v>
      </c>
      <c r="K109" t="str">
        <f t="shared" si="4"/>
        <v>San Francisco</v>
      </c>
      <c r="L109">
        <f t="shared" si="5"/>
        <v>21911.9</v>
      </c>
    </row>
    <row r="110" spans="1:12" x14ac:dyDescent="0.3">
      <c r="A110" t="s">
        <v>19</v>
      </c>
      <c r="B110" t="s">
        <v>201</v>
      </c>
      <c r="C110" s="29">
        <v>117</v>
      </c>
      <c r="D110" s="29">
        <v>5441.2</v>
      </c>
      <c r="F110" s="21" t="str">
        <f t="shared" si="2"/>
        <v>California</v>
      </c>
      <c r="G110" s="16" t="str">
        <f t="shared" si="6"/>
        <v>San Joaquin County</v>
      </c>
      <c r="H110" s="22">
        <f t="shared" si="7"/>
        <v>117</v>
      </c>
      <c r="J110" t="str">
        <f t="shared" si="3"/>
        <v>California</v>
      </c>
      <c r="K110" t="str">
        <f t="shared" si="4"/>
        <v>San Joaquin County</v>
      </c>
      <c r="L110">
        <f t="shared" si="5"/>
        <v>5441.2</v>
      </c>
    </row>
    <row r="111" spans="1:12" x14ac:dyDescent="0.3">
      <c r="A111" t="s">
        <v>19</v>
      </c>
      <c r="B111" t="s">
        <v>429</v>
      </c>
      <c r="C111" s="29">
        <v>13</v>
      </c>
      <c r="D111" s="29">
        <v>392.8</v>
      </c>
      <c r="F111" s="21" t="str">
        <f t="shared" si="2"/>
        <v>California</v>
      </c>
      <c r="G111" s="16" t="str">
        <f t="shared" si="6"/>
        <v>San Luis Obispo County</v>
      </c>
      <c r="H111" s="22">
        <f t="shared" si="7"/>
        <v>13</v>
      </c>
      <c r="J111" t="str">
        <f t="shared" si="3"/>
        <v>California</v>
      </c>
      <c r="K111" t="str">
        <f t="shared" si="4"/>
        <v>San Luis Obispo County</v>
      </c>
      <c r="L111">
        <f t="shared" si="5"/>
        <v>392.8</v>
      </c>
    </row>
    <row r="112" spans="1:12" x14ac:dyDescent="0.3">
      <c r="A112" t="s">
        <v>19</v>
      </c>
      <c r="B112" t="s">
        <v>72</v>
      </c>
      <c r="C112" s="29">
        <v>364</v>
      </c>
      <c r="D112" s="29">
        <v>16172.000000000005</v>
      </c>
      <c r="F112" s="21" t="str">
        <f t="shared" si="2"/>
        <v>California</v>
      </c>
      <c r="G112" s="16" t="str">
        <f t="shared" si="6"/>
        <v>San Mateo County</v>
      </c>
      <c r="H112" s="22">
        <f t="shared" si="7"/>
        <v>364</v>
      </c>
      <c r="J112" t="str">
        <f t="shared" si="3"/>
        <v>California</v>
      </c>
      <c r="K112" t="str">
        <f t="shared" si="4"/>
        <v>San Mateo County</v>
      </c>
      <c r="L112">
        <f t="shared" si="5"/>
        <v>16172.000000000005</v>
      </c>
    </row>
    <row r="113" spans="1:12" x14ac:dyDescent="0.3">
      <c r="A113" t="s">
        <v>19</v>
      </c>
      <c r="B113" t="s">
        <v>74</v>
      </c>
      <c r="C113" s="29">
        <v>95</v>
      </c>
      <c r="D113" s="29">
        <v>4334.9999999999991</v>
      </c>
      <c r="F113" s="21" t="str">
        <f t="shared" si="2"/>
        <v>California</v>
      </c>
      <c r="G113" s="16" t="str">
        <f t="shared" si="6"/>
        <v>Santa Barbara County</v>
      </c>
      <c r="H113" s="22">
        <f t="shared" si="7"/>
        <v>95</v>
      </c>
      <c r="J113" t="str">
        <f t="shared" si="3"/>
        <v>California</v>
      </c>
      <c r="K113" t="str">
        <f t="shared" si="4"/>
        <v>Santa Barbara County</v>
      </c>
      <c r="L113">
        <f t="shared" si="5"/>
        <v>4334.9999999999991</v>
      </c>
    </row>
    <row r="114" spans="1:12" x14ac:dyDescent="0.3">
      <c r="A114" t="s">
        <v>19</v>
      </c>
      <c r="B114" t="s">
        <v>77</v>
      </c>
      <c r="C114" s="29">
        <v>737</v>
      </c>
      <c r="D114" s="29">
        <v>37449.000000000007</v>
      </c>
      <c r="F114" s="21" t="str">
        <f t="shared" si="2"/>
        <v>California</v>
      </c>
      <c r="G114" s="16" t="str">
        <f t="shared" si="6"/>
        <v>Santa Clara County</v>
      </c>
      <c r="H114" s="22">
        <f t="shared" si="7"/>
        <v>737</v>
      </c>
      <c r="J114" t="str">
        <f t="shared" si="3"/>
        <v>California</v>
      </c>
      <c r="K114" t="str">
        <f t="shared" si="4"/>
        <v>Santa Clara County</v>
      </c>
      <c r="L114">
        <f t="shared" si="5"/>
        <v>37449.000000000007</v>
      </c>
    </row>
    <row r="115" spans="1:12" x14ac:dyDescent="0.3">
      <c r="A115" t="s">
        <v>19</v>
      </c>
      <c r="B115" t="s">
        <v>309</v>
      </c>
      <c r="C115" s="29">
        <v>39</v>
      </c>
      <c r="D115" s="29">
        <v>2447.5</v>
      </c>
      <c r="F115" s="21" t="str">
        <f t="shared" si="2"/>
        <v>California</v>
      </c>
      <c r="G115" s="16" t="str">
        <f t="shared" si="6"/>
        <v>Santa Cruz County</v>
      </c>
      <c r="H115" s="22">
        <f t="shared" si="7"/>
        <v>39</v>
      </c>
      <c r="J115" t="str">
        <f t="shared" si="3"/>
        <v>California</v>
      </c>
      <c r="K115" t="str">
        <f t="shared" si="4"/>
        <v>Santa Cruz County</v>
      </c>
      <c r="L115">
        <f t="shared" si="5"/>
        <v>2447.5</v>
      </c>
    </row>
    <row r="116" spans="1:12" x14ac:dyDescent="0.3">
      <c r="A116" t="s">
        <v>19</v>
      </c>
      <c r="B116" t="s">
        <v>1116</v>
      </c>
      <c r="C116" s="29">
        <v>56</v>
      </c>
      <c r="D116" s="29">
        <v>3391.1</v>
      </c>
      <c r="F116" s="21" t="str">
        <f t="shared" si="2"/>
        <v>California</v>
      </c>
      <c r="G116" s="16" t="str">
        <f t="shared" si="6"/>
        <v>Shasta County</v>
      </c>
      <c r="H116" s="22">
        <f t="shared" si="7"/>
        <v>56</v>
      </c>
      <c r="J116" t="str">
        <f t="shared" si="3"/>
        <v>California</v>
      </c>
      <c r="K116" t="str">
        <f t="shared" si="4"/>
        <v>Shasta County</v>
      </c>
      <c r="L116">
        <f t="shared" si="5"/>
        <v>3391.1</v>
      </c>
    </row>
    <row r="117" spans="1:12" x14ac:dyDescent="0.3">
      <c r="A117" t="s">
        <v>19</v>
      </c>
      <c r="B117" t="s">
        <v>700</v>
      </c>
      <c r="C117" s="29">
        <v>2</v>
      </c>
      <c r="D117" s="29">
        <v>30.8</v>
      </c>
      <c r="F117" s="21" t="str">
        <f t="shared" si="2"/>
        <v>California</v>
      </c>
      <c r="G117" s="16" t="str">
        <f t="shared" si="6"/>
        <v>Sierra County</v>
      </c>
      <c r="H117" s="22">
        <f t="shared" si="7"/>
        <v>2</v>
      </c>
      <c r="J117" t="str">
        <f t="shared" si="3"/>
        <v>California</v>
      </c>
      <c r="K117" t="str">
        <f t="shared" si="4"/>
        <v>Sierra County</v>
      </c>
      <c r="L117">
        <f t="shared" si="5"/>
        <v>30.8</v>
      </c>
    </row>
    <row r="118" spans="1:12" x14ac:dyDescent="0.3">
      <c r="A118" t="s">
        <v>19</v>
      </c>
      <c r="B118" t="s">
        <v>268</v>
      </c>
      <c r="C118" s="29">
        <v>8</v>
      </c>
      <c r="D118" s="29">
        <v>332.3</v>
      </c>
      <c r="F118" s="21" t="str">
        <f t="shared" si="2"/>
        <v>California</v>
      </c>
      <c r="G118" s="16" t="str">
        <f t="shared" si="6"/>
        <v>Siskiyou County</v>
      </c>
      <c r="H118" s="22">
        <f t="shared" si="7"/>
        <v>8</v>
      </c>
      <c r="J118" t="str">
        <f t="shared" si="3"/>
        <v>California</v>
      </c>
      <c r="K118" t="str">
        <f t="shared" si="4"/>
        <v>Siskiyou County</v>
      </c>
      <c r="L118">
        <f t="shared" si="5"/>
        <v>332.3</v>
      </c>
    </row>
    <row r="119" spans="1:12" x14ac:dyDescent="0.3">
      <c r="A119" t="s">
        <v>19</v>
      </c>
      <c r="B119" t="s">
        <v>377</v>
      </c>
      <c r="C119" s="29">
        <v>52</v>
      </c>
      <c r="D119" s="29">
        <v>3175.9999999999995</v>
      </c>
      <c r="F119" s="21" t="str">
        <f t="shared" si="2"/>
        <v>California</v>
      </c>
      <c r="G119" s="16" t="str">
        <f t="shared" si="6"/>
        <v>Solano County</v>
      </c>
      <c r="H119" s="22">
        <f t="shared" si="7"/>
        <v>52</v>
      </c>
      <c r="J119" t="str">
        <f t="shared" si="3"/>
        <v>California</v>
      </c>
      <c r="K119" t="str">
        <f t="shared" si="4"/>
        <v>Solano County</v>
      </c>
      <c r="L119">
        <f t="shared" si="5"/>
        <v>3175.9999999999995</v>
      </c>
    </row>
    <row r="120" spans="1:12" x14ac:dyDescent="0.3">
      <c r="A120" t="s">
        <v>19</v>
      </c>
      <c r="B120" t="s">
        <v>108</v>
      </c>
      <c r="C120" s="29">
        <v>295</v>
      </c>
      <c r="D120" s="29">
        <v>20939.600000000002</v>
      </c>
      <c r="F120" s="21" t="str">
        <f t="shared" si="2"/>
        <v>California</v>
      </c>
      <c r="G120" s="16" t="str">
        <f t="shared" si="6"/>
        <v>Sonoma County</v>
      </c>
      <c r="H120" s="22">
        <f t="shared" si="7"/>
        <v>295</v>
      </c>
      <c r="J120" t="str">
        <f t="shared" si="3"/>
        <v>California</v>
      </c>
      <c r="K120" t="str">
        <f t="shared" si="4"/>
        <v>Sonoma County</v>
      </c>
      <c r="L120">
        <f t="shared" si="5"/>
        <v>20939.600000000002</v>
      </c>
    </row>
    <row r="121" spans="1:12" x14ac:dyDescent="0.3">
      <c r="A121" t="s">
        <v>19</v>
      </c>
      <c r="B121" t="s">
        <v>110</v>
      </c>
      <c r="C121" s="29">
        <v>195</v>
      </c>
      <c r="D121" s="29">
        <v>10185.899999999996</v>
      </c>
      <c r="F121" s="21" t="str">
        <f t="shared" si="2"/>
        <v>California</v>
      </c>
      <c r="G121" s="16" t="str">
        <f t="shared" si="6"/>
        <v>Stanislaus County</v>
      </c>
      <c r="H121" s="22">
        <f t="shared" si="7"/>
        <v>195</v>
      </c>
      <c r="J121" t="str">
        <f t="shared" si="3"/>
        <v>California</v>
      </c>
      <c r="K121" t="str">
        <f t="shared" si="4"/>
        <v>Stanislaus County</v>
      </c>
      <c r="L121">
        <f t="shared" si="5"/>
        <v>10185.899999999996</v>
      </c>
    </row>
    <row r="122" spans="1:12" x14ac:dyDescent="0.3">
      <c r="A122" t="s">
        <v>19</v>
      </c>
      <c r="B122" t="s">
        <v>292</v>
      </c>
      <c r="C122" s="29">
        <v>20</v>
      </c>
      <c r="D122" s="29">
        <v>958.7</v>
      </c>
      <c r="F122" s="21" t="str">
        <f t="shared" si="2"/>
        <v>California</v>
      </c>
      <c r="G122" s="16" t="str">
        <f t="shared" si="6"/>
        <v>Sutter County</v>
      </c>
      <c r="H122" s="22">
        <f t="shared" si="7"/>
        <v>20</v>
      </c>
      <c r="J122" t="str">
        <f t="shared" si="3"/>
        <v>California</v>
      </c>
      <c r="K122" t="str">
        <f t="shared" si="4"/>
        <v>Sutter County</v>
      </c>
      <c r="L122">
        <f t="shared" si="5"/>
        <v>958.7</v>
      </c>
    </row>
    <row r="123" spans="1:12" x14ac:dyDescent="0.3">
      <c r="A123" t="s">
        <v>19</v>
      </c>
      <c r="B123" t="s">
        <v>79</v>
      </c>
      <c r="C123" s="29">
        <v>6</v>
      </c>
      <c r="D123" s="29">
        <v>323</v>
      </c>
      <c r="F123" s="21" t="str">
        <f t="shared" si="2"/>
        <v>California</v>
      </c>
      <c r="G123" s="16" t="str">
        <f t="shared" si="6"/>
        <v>Tehama County</v>
      </c>
      <c r="H123" s="22">
        <f t="shared" si="7"/>
        <v>6</v>
      </c>
      <c r="J123" t="str">
        <f t="shared" si="3"/>
        <v>California</v>
      </c>
      <c r="K123" t="str">
        <f t="shared" si="4"/>
        <v>Tehama County</v>
      </c>
      <c r="L123">
        <f t="shared" si="5"/>
        <v>323</v>
      </c>
    </row>
    <row r="124" spans="1:12" x14ac:dyDescent="0.3">
      <c r="A124" t="s">
        <v>19</v>
      </c>
      <c r="B124" t="s">
        <v>608</v>
      </c>
      <c r="C124" s="29">
        <v>5</v>
      </c>
      <c r="D124" s="29">
        <v>167.70000000000002</v>
      </c>
      <c r="F124" s="21" t="str">
        <f t="shared" si="2"/>
        <v>California</v>
      </c>
      <c r="G124" s="16" t="str">
        <f t="shared" si="6"/>
        <v>Trinity County</v>
      </c>
      <c r="H124" s="22">
        <f t="shared" si="7"/>
        <v>5</v>
      </c>
      <c r="J124" t="str">
        <f t="shared" si="3"/>
        <v>California</v>
      </c>
      <c r="K124" t="str">
        <f t="shared" si="4"/>
        <v>Trinity County</v>
      </c>
      <c r="L124">
        <f t="shared" si="5"/>
        <v>167.70000000000002</v>
      </c>
    </row>
    <row r="125" spans="1:12" x14ac:dyDescent="0.3">
      <c r="A125" t="s">
        <v>19</v>
      </c>
      <c r="B125" t="s">
        <v>113</v>
      </c>
      <c r="C125" s="29">
        <v>94</v>
      </c>
      <c r="D125" s="29">
        <v>3978.5</v>
      </c>
      <c r="F125" s="21" t="str">
        <f t="shared" si="2"/>
        <v>California</v>
      </c>
      <c r="G125" s="16" t="str">
        <f t="shared" si="6"/>
        <v>Tulare County</v>
      </c>
      <c r="H125" s="22">
        <f t="shared" si="7"/>
        <v>94</v>
      </c>
      <c r="J125" t="str">
        <f t="shared" si="3"/>
        <v>California</v>
      </c>
      <c r="K125" t="str">
        <f t="shared" si="4"/>
        <v>Tulare County</v>
      </c>
      <c r="L125">
        <f t="shared" si="5"/>
        <v>3978.5</v>
      </c>
    </row>
    <row r="126" spans="1:12" x14ac:dyDescent="0.3">
      <c r="A126" t="s">
        <v>19</v>
      </c>
      <c r="B126" t="s">
        <v>997</v>
      </c>
      <c r="C126" s="29">
        <v>28</v>
      </c>
      <c r="D126" s="29">
        <v>1405</v>
      </c>
      <c r="F126" s="21" t="str">
        <f t="shared" si="2"/>
        <v>California</v>
      </c>
      <c r="G126" s="16" t="str">
        <f t="shared" si="6"/>
        <v>Tuolumne County</v>
      </c>
      <c r="H126" s="22">
        <f t="shared" si="7"/>
        <v>28</v>
      </c>
      <c r="J126" t="str">
        <f t="shared" si="3"/>
        <v>California</v>
      </c>
      <c r="K126" t="str">
        <f t="shared" si="4"/>
        <v>Tuolumne County</v>
      </c>
      <c r="L126">
        <f t="shared" si="5"/>
        <v>1405</v>
      </c>
    </row>
    <row r="127" spans="1:12" x14ac:dyDescent="0.3">
      <c r="A127" t="s">
        <v>19</v>
      </c>
      <c r="B127" t="s">
        <v>82</v>
      </c>
      <c r="C127" s="29">
        <v>179</v>
      </c>
      <c r="D127" s="29">
        <v>9869.0999999999985</v>
      </c>
      <c r="F127" s="21" t="str">
        <f t="shared" si="2"/>
        <v>California</v>
      </c>
      <c r="G127" s="16" t="str">
        <f t="shared" si="6"/>
        <v>Ventura County</v>
      </c>
      <c r="H127" s="22">
        <f t="shared" si="7"/>
        <v>179</v>
      </c>
      <c r="J127" t="str">
        <f t="shared" si="3"/>
        <v>California</v>
      </c>
      <c r="K127" t="str">
        <f t="shared" si="4"/>
        <v>Ventura County</v>
      </c>
      <c r="L127">
        <f t="shared" si="5"/>
        <v>9869.0999999999985</v>
      </c>
    </row>
    <row r="128" spans="1:12" x14ac:dyDescent="0.3">
      <c r="A128" t="s">
        <v>19</v>
      </c>
      <c r="B128" t="s">
        <v>243</v>
      </c>
      <c r="C128" s="29">
        <v>15</v>
      </c>
      <c r="D128" s="29">
        <v>615.29999999999995</v>
      </c>
      <c r="F128" s="21" t="str">
        <f t="shared" si="2"/>
        <v>California</v>
      </c>
      <c r="G128" s="16" t="str">
        <f t="shared" si="6"/>
        <v>Yolo County</v>
      </c>
      <c r="H128" s="22">
        <f t="shared" si="7"/>
        <v>15</v>
      </c>
      <c r="J128" t="str">
        <f t="shared" si="3"/>
        <v>California</v>
      </c>
      <c r="K128" t="str">
        <f t="shared" si="4"/>
        <v>Yolo County</v>
      </c>
      <c r="L128">
        <f t="shared" si="5"/>
        <v>615.29999999999995</v>
      </c>
    </row>
    <row r="129" spans="1:12" x14ac:dyDescent="0.3">
      <c r="A129" t="s">
        <v>19</v>
      </c>
      <c r="B129" t="s">
        <v>1911</v>
      </c>
      <c r="C129" s="29">
        <v>3</v>
      </c>
      <c r="D129" s="29">
        <v>285</v>
      </c>
      <c r="F129" s="26" t="str">
        <f t="shared" si="2"/>
        <v>California</v>
      </c>
      <c r="G129" s="27" t="str">
        <f t="shared" si="6"/>
        <v>Yuba County</v>
      </c>
      <c r="H129" s="28">
        <f t="shared" si="7"/>
        <v>3</v>
      </c>
      <c r="J129" t="str">
        <f t="shared" si="3"/>
        <v>California</v>
      </c>
      <c r="K129" t="str">
        <f t="shared" si="4"/>
        <v>Yuba County</v>
      </c>
      <c r="L129">
        <f t="shared" si="5"/>
        <v>285</v>
      </c>
    </row>
    <row r="130" spans="1:12" x14ac:dyDescent="0.3">
      <c r="A130" t="s">
        <v>2566</v>
      </c>
      <c r="C130" s="29">
        <v>11997</v>
      </c>
      <c r="D130" s="29">
        <v>649019.79999999981</v>
      </c>
    </row>
    <row r="135" spans="1:12" x14ac:dyDescent="0.3">
      <c r="B135" s="12" t="s">
        <v>12</v>
      </c>
      <c r="C135" t="s">
        <v>2552</v>
      </c>
    </row>
    <row r="136" spans="1:12" x14ac:dyDescent="0.3">
      <c r="B136">
        <v>0</v>
      </c>
      <c r="C136" s="29">
        <v>175</v>
      </c>
    </row>
    <row r="137" spans="1:12" x14ac:dyDescent="0.3">
      <c r="B137">
        <v>1</v>
      </c>
      <c r="C137" s="29">
        <v>888</v>
      </c>
    </row>
    <row r="138" spans="1:12" x14ac:dyDescent="0.3">
      <c r="B138">
        <v>2</v>
      </c>
      <c r="C138" s="29">
        <v>538</v>
      </c>
    </row>
    <row r="139" spans="1:12" x14ac:dyDescent="0.3">
      <c r="B139">
        <v>3</v>
      </c>
      <c r="C139" s="29">
        <v>344</v>
      </c>
    </row>
    <row r="140" spans="1:12" x14ac:dyDescent="0.3">
      <c r="B140">
        <v>4</v>
      </c>
      <c r="C140" s="29">
        <v>200</v>
      </c>
    </row>
    <row r="141" spans="1:12" x14ac:dyDescent="0.3">
      <c r="B141">
        <v>5</v>
      </c>
      <c r="C141" s="29">
        <v>94</v>
      </c>
    </row>
    <row r="142" spans="1:12" x14ac:dyDescent="0.3">
      <c r="B142">
        <v>6</v>
      </c>
      <c r="C142" s="29">
        <v>51</v>
      </c>
    </row>
    <row r="143" spans="1:12" x14ac:dyDescent="0.3">
      <c r="B143">
        <v>7</v>
      </c>
      <c r="C143" s="29">
        <v>32</v>
      </c>
    </row>
    <row r="144" spans="1:12" x14ac:dyDescent="0.3">
      <c r="B144">
        <v>8</v>
      </c>
      <c r="C144" s="29">
        <v>23</v>
      </c>
    </row>
    <row r="145" spans="2:8" x14ac:dyDescent="0.3">
      <c r="B145">
        <v>9</v>
      </c>
      <c r="C145" s="29">
        <v>9</v>
      </c>
    </row>
    <row r="146" spans="2:8" x14ac:dyDescent="0.3">
      <c r="B146">
        <v>10</v>
      </c>
      <c r="C146" s="29">
        <v>8</v>
      </c>
    </row>
    <row r="147" spans="2:8" x14ac:dyDescent="0.3">
      <c r="B147">
        <v>11</v>
      </c>
      <c r="C147" s="29">
        <v>11</v>
      </c>
    </row>
    <row r="148" spans="2:8" x14ac:dyDescent="0.3">
      <c r="B148">
        <v>12</v>
      </c>
      <c r="C148" s="29">
        <v>4</v>
      </c>
    </row>
    <row r="149" spans="2:8" x14ac:dyDescent="0.3">
      <c r="B149">
        <v>13</v>
      </c>
      <c r="C149" s="29">
        <v>10</v>
      </c>
    </row>
    <row r="150" spans="2:8" x14ac:dyDescent="0.3">
      <c r="B150">
        <v>14</v>
      </c>
      <c r="C150" s="29">
        <v>13</v>
      </c>
    </row>
    <row r="151" spans="2:8" x14ac:dyDescent="0.3">
      <c r="B151" t="s">
        <v>2566</v>
      </c>
      <c r="C151" s="29">
        <v>2400</v>
      </c>
    </row>
    <row r="155" spans="2:8" x14ac:dyDescent="0.3">
      <c r="B155" s="12" t="s">
        <v>2552</v>
      </c>
      <c r="C155" s="12" t="s">
        <v>9</v>
      </c>
    </row>
    <row r="156" spans="2:8" x14ac:dyDescent="0.3">
      <c r="B156" s="12" t="s">
        <v>2577</v>
      </c>
      <c r="C156">
        <v>1</v>
      </c>
      <c r="D156">
        <v>2</v>
      </c>
      <c r="E156">
        <v>3</v>
      </c>
      <c r="F156">
        <v>4</v>
      </c>
      <c r="G156">
        <v>5</v>
      </c>
      <c r="H156" t="s">
        <v>2566</v>
      </c>
    </row>
    <row r="157" spans="2:8" x14ac:dyDescent="0.3">
      <c r="B157" t="s">
        <v>2578</v>
      </c>
      <c r="C157" s="29">
        <v>7</v>
      </c>
      <c r="D157" s="29">
        <v>37</v>
      </c>
      <c r="E157" s="29">
        <v>150</v>
      </c>
      <c r="F157" s="29">
        <v>312</v>
      </c>
      <c r="G157" s="29">
        <v>224</v>
      </c>
      <c r="H157" s="29">
        <v>730</v>
      </c>
    </row>
    <row r="158" spans="2:8" x14ac:dyDescent="0.3">
      <c r="B158" t="s">
        <v>2579</v>
      </c>
      <c r="C158" s="29">
        <v>8</v>
      </c>
      <c r="D158" s="29">
        <v>51</v>
      </c>
      <c r="E158" s="29">
        <v>182</v>
      </c>
      <c r="F158" s="29">
        <v>373</v>
      </c>
      <c r="G158" s="29">
        <v>247</v>
      </c>
      <c r="H158" s="29">
        <v>861</v>
      </c>
    </row>
    <row r="159" spans="2:8" x14ac:dyDescent="0.3">
      <c r="B159" t="s">
        <v>2580</v>
      </c>
      <c r="C159" s="29">
        <v>6</v>
      </c>
      <c r="D159" s="29">
        <v>39</v>
      </c>
      <c r="E159" s="29">
        <v>163</v>
      </c>
      <c r="F159" s="29">
        <v>351</v>
      </c>
      <c r="G159" s="29">
        <v>250</v>
      </c>
      <c r="H159" s="29">
        <v>809</v>
      </c>
    </row>
    <row r="160" spans="2:8" x14ac:dyDescent="0.3">
      <c r="B160" t="s">
        <v>2566</v>
      </c>
      <c r="C160" s="29">
        <v>21</v>
      </c>
      <c r="D160" s="29">
        <v>127</v>
      </c>
      <c r="E160" s="29">
        <v>495</v>
      </c>
      <c r="F160" s="29">
        <v>1036</v>
      </c>
      <c r="G160" s="29">
        <v>721</v>
      </c>
      <c r="H160" s="29">
        <v>2400</v>
      </c>
    </row>
  </sheetData>
  <pageMargins left="0.7" right="0.7" top="0.75" bottom="0.75" header="0.3" footer="0.3"/>
  <tableParts count="2">
    <tablePart r:id="rId9"/>
    <tablePart r:id="rId1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EB657-889E-4C10-AF4A-BDA7C382B5CA}">
  <dimension ref="A1"/>
  <sheetViews>
    <sheetView tabSelected="1" zoomScale="88" zoomScaleNormal="100" workbookViewId="0">
      <selection activeCell="AA28" sqref="AA28"/>
    </sheetView>
  </sheetViews>
  <sheetFormatPr defaultRowHeight="14.4" x14ac:dyDescent="0.3"/>
  <cols>
    <col min="1" max="1" width="4.5546875" customWidth="1"/>
    <col min="2" max="2" width="19.77734375" customWidth="1"/>
    <col min="3" max="3" width="5.33203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3798-3D01-420D-A23F-007C6F79C9BE}">
  <dimension ref="A2:L10"/>
  <sheetViews>
    <sheetView showGridLines="0" workbookViewId="0">
      <selection activeCell="L4" sqref="L4"/>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1.33203125" customWidth="1"/>
    <col min="9" max="9" width="7.5546875" customWidth="1"/>
    <col min="10" max="11" width="6.77734375" customWidth="1"/>
    <col min="12" max="12" width="6.88671875" customWidth="1"/>
  </cols>
  <sheetData>
    <row r="2" spans="1:12" x14ac:dyDescent="0.3">
      <c r="H2" t="s">
        <v>2568</v>
      </c>
    </row>
    <row r="3" spans="1:12" ht="15" thickBot="1" x14ac:dyDescent="0.35">
      <c r="A3" s="12" t="s">
        <v>2554</v>
      </c>
      <c r="B3" s="12" t="s">
        <v>2567</v>
      </c>
    </row>
    <row r="4" spans="1:12" ht="16.8" customHeight="1" thickTop="1" thickBot="1" x14ac:dyDescent="0.35">
      <c r="A4" s="12" t="s">
        <v>2565</v>
      </c>
      <c r="B4" t="s">
        <v>2563</v>
      </c>
      <c r="C4" t="s">
        <v>2562</v>
      </c>
      <c r="D4" t="s">
        <v>2564</v>
      </c>
      <c r="E4" t="s">
        <v>2561</v>
      </c>
      <c r="F4" t="s">
        <v>2566</v>
      </c>
      <c r="H4" s="17"/>
      <c r="I4" s="18" t="s">
        <v>2569</v>
      </c>
      <c r="J4" s="18" t="s">
        <v>2570</v>
      </c>
      <c r="K4" s="18" t="s">
        <v>2571</v>
      </c>
      <c r="L4" s="18" t="s">
        <v>2572</v>
      </c>
    </row>
    <row r="5" spans="1:12" ht="18" customHeight="1" thickTop="1" thickBot="1" x14ac:dyDescent="0.35">
      <c r="A5" s="13" t="s">
        <v>18</v>
      </c>
      <c r="B5" s="15">
        <v>0.18961825201634841</v>
      </c>
      <c r="C5" s="15">
        <v>0.12262322351336576</v>
      </c>
      <c r="D5" s="15">
        <v>1.060537752469185E-2</v>
      </c>
      <c r="E5" s="15">
        <v>3.0599220547662797E-2</v>
      </c>
      <c r="F5" s="15">
        <v>0.35344607360206881</v>
      </c>
      <c r="H5" s="19" t="str">
        <f>A5</f>
        <v>App</v>
      </c>
      <c r="I5" s="20">
        <f t="shared" ref="I5:L9" si="0">B5</f>
        <v>0.18961825201634841</v>
      </c>
      <c r="J5" s="20">
        <f t="shared" si="0"/>
        <v>0.12262322351336576</v>
      </c>
      <c r="K5" s="20">
        <f t="shared" si="0"/>
        <v>1.060537752469185E-2</v>
      </c>
      <c r="L5" s="20">
        <f t="shared" si="0"/>
        <v>3.0599220547662797E-2</v>
      </c>
    </row>
    <row r="6" spans="1:12" ht="18" customHeight="1" thickTop="1" thickBot="1" x14ac:dyDescent="0.35">
      <c r="A6" s="13" t="s">
        <v>51</v>
      </c>
      <c r="B6" s="15">
        <v>5.0283982091147303E-2</v>
      </c>
      <c r="C6" s="15">
        <v>4.3060781812819873E-2</v>
      </c>
      <c r="D6" s="15">
        <v>1.5320025675641944E-3</v>
      </c>
      <c r="E6" s="15">
        <v>1.7794988689097006E-2</v>
      </c>
      <c r="F6" s="15">
        <v>0.11267175516062837</v>
      </c>
      <c r="H6" s="19" t="str">
        <f t="shared" ref="H6:H9" si="1">A6</f>
        <v>Instagram</v>
      </c>
      <c r="I6" s="20">
        <f t="shared" si="0"/>
        <v>5.0283982091147303E-2</v>
      </c>
      <c r="J6" s="20">
        <f t="shared" si="0"/>
        <v>4.3060781812819873E-2</v>
      </c>
      <c r="K6" s="20">
        <f t="shared" si="0"/>
        <v>1.5320025675641944E-3</v>
      </c>
      <c r="L6" s="20">
        <f t="shared" si="0"/>
        <v>1.7794988689097006E-2</v>
      </c>
    </row>
    <row r="7" spans="1:12" ht="16.2" customHeight="1" thickTop="1" thickBot="1" x14ac:dyDescent="0.35">
      <c r="A7" s="13" t="s">
        <v>70</v>
      </c>
      <c r="B7" s="15">
        <v>6.3496059750411282E-2</v>
      </c>
      <c r="C7" s="15">
        <v>4.6071629863988765E-2</v>
      </c>
      <c r="D7" s="15">
        <v>2.306247051322625E-3</v>
      </c>
      <c r="E7" s="15">
        <v>3.8927934093844286E-3</v>
      </c>
      <c r="F7" s="15">
        <v>0.11576673007510711</v>
      </c>
      <c r="H7" s="19" t="str">
        <f t="shared" si="1"/>
        <v>Partner App</v>
      </c>
      <c r="I7" s="20">
        <f t="shared" si="0"/>
        <v>6.3496059750411282E-2</v>
      </c>
      <c r="J7" s="20">
        <f t="shared" si="0"/>
        <v>4.6071629863988765E-2</v>
      </c>
      <c r="K7" s="20">
        <f t="shared" si="0"/>
        <v>2.306247051322625E-3</v>
      </c>
      <c r="L7" s="20">
        <f t="shared" si="0"/>
        <v>3.8927934093844286E-3</v>
      </c>
    </row>
    <row r="8" spans="1:12" ht="16.2" customHeight="1" thickTop="1" thickBot="1" x14ac:dyDescent="0.35">
      <c r="A8" s="13" t="s">
        <v>40</v>
      </c>
      <c r="B8" s="15">
        <v>9.6337892927149532E-2</v>
      </c>
      <c r="C8" s="15">
        <v>6.7920115842382611E-2</v>
      </c>
      <c r="D8" s="15">
        <v>5.4979832664581261E-3</v>
      </c>
      <c r="E8" s="15">
        <v>1.2933041488102518E-2</v>
      </c>
      <c r="F8" s="15">
        <v>0.1826890335240928</v>
      </c>
      <c r="H8" s="19" t="str">
        <f t="shared" si="1"/>
        <v>Target.com</v>
      </c>
      <c r="I8" s="20">
        <f t="shared" si="0"/>
        <v>9.6337892927149532E-2</v>
      </c>
      <c r="J8" s="20">
        <f t="shared" si="0"/>
        <v>6.7920115842382611E-2</v>
      </c>
      <c r="K8" s="20">
        <f t="shared" si="0"/>
        <v>5.4979832664581261E-3</v>
      </c>
      <c r="L8" s="20">
        <f t="shared" si="0"/>
        <v>1.2933041488102518E-2</v>
      </c>
    </row>
    <row r="9" spans="1:12" ht="16.2" customHeight="1" thickTop="1" thickBot="1" x14ac:dyDescent="0.35">
      <c r="A9" s="13" t="s">
        <v>35</v>
      </c>
      <c r="B9" s="15">
        <v>0.12522098709469262</v>
      </c>
      <c r="C9" s="15">
        <v>9.1492740283116228E-2</v>
      </c>
      <c r="D9" s="15">
        <v>6.3042760790965081E-3</v>
      </c>
      <c r="E9" s="15">
        <v>1.2408404181197551E-2</v>
      </c>
      <c r="F9" s="15">
        <v>0.23542640763810288</v>
      </c>
      <c r="H9" s="19" t="str">
        <f t="shared" si="1"/>
        <v>Website</v>
      </c>
      <c r="I9" s="20">
        <f t="shared" si="0"/>
        <v>0.12522098709469262</v>
      </c>
      <c r="J9" s="20">
        <f t="shared" si="0"/>
        <v>9.1492740283116228E-2</v>
      </c>
      <c r="K9" s="20">
        <f t="shared" si="0"/>
        <v>6.3042760790965081E-3</v>
      </c>
      <c r="L9" s="20">
        <f t="shared" si="0"/>
        <v>1.2408404181197551E-2</v>
      </c>
    </row>
    <row r="10" spans="1:12" ht="15" thickTop="1" x14ac:dyDescent="0.3">
      <c r="A10" s="13" t="s">
        <v>2566</v>
      </c>
      <c r="B10" s="15">
        <v>0.52495717387974916</v>
      </c>
      <c r="C10" s="15">
        <v>0.3711684913156732</v>
      </c>
      <c r="D10" s="15">
        <v>2.6245886489133303E-2</v>
      </c>
      <c r="E10" s="15">
        <v>7.7628448315444312E-2</v>
      </c>
      <c r="F10" s="15">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I15" sqref="I15"/>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95" workbookViewId="0">
      <selection activeCell="AE6" sqref="AE6"/>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F10" sqref="F10"/>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Pivots</vt:lpstr>
      <vt:lpstr>Sheet2</vt:lpstr>
      <vt:lpstr>Sheet1</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Sasipriya R</cp:lastModifiedBy>
  <cp:lastPrinted>2026-09-10T15:51:01Z</cp:lastPrinted>
  <dcterms:created xsi:type="dcterms:W3CDTF">2025-06-13T02:42:26Z</dcterms:created>
  <dcterms:modified xsi:type="dcterms:W3CDTF">2026-09-10T15:51:43Z</dcterms:modified>
</cp:coreProperties>
</file>